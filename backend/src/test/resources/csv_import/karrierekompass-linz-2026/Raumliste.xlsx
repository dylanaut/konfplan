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eyj/Java/berufsorientierung/KonfPlan/backend/src/test/resources/csv_import/karrierekompass-linz-2026/"/>
    </mc:Choice>
  </mc:AlternateContent>
  <xr:revisionPtr revIDLastSave="0" documentId="13_ncr:1_{79BCE010-5BE7-4B4A-96EC-3E98E19704AB}" xr6:coauthVersionLast="47" xr6:coauthVersionMax="47" xr10:uidLastSave="{00000000-0000-0000-0000-000000000000}"/>
  <bookViews>
    <workbookView xWindow="7420" yWindow="3220" windowWidth="23680" windowHeight="16220" activeTab="2" xr2:uid="{4104D814-F3FC-4606-9582-F9D2558CEBE2}"/>
  </bookViews>
  <sheets>
    <sheet name="Räume" sheetId="1" r:id="rId1"/>
    <sheet name="SchülerInnen" sheetId="2" r:id="rId2"/>
    <sheet name="teilnehmer.csv" sheetId="4" r:id="rId3"/>
    <sheet name="V-Gruppe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2" i="4"/>
  <c r="A417" i="4"/>
  <c r="B417" i="4"/>
  <c r="C417" i="4"/>
  <c r="D417" i="4"/>
  <c r="A397" i="4"/>
  <c r="B397" i="4"/>
  <c r="C397" i="4"/>
  <c r="D397" i="4"/>
  <c r="A398" i="4"/>
  <c r="B398" i="4"/>
  <c r="C398" i="4"/>
  <c r="D398" i="4"/>
  <c r="A399" i="4"/>
  <c r="B399" i="4"/>
  <c r="C399" i="4"/>
  <c r="D399" i="4"/>
  <c r="A400" i="4"/>
  <c r="B400" i="4"/>
  <c r="C400" i="4"/>
  <c r="D400" i="4"/>
  <c r="A401" i="4"/>
  <c r="B401" i="4"/>
  <c r="C401" i="4"/>
  <c r="D401" i="4"/>
  <c r="A402" i="4"/>
  <c r="B402" i="4"/>
  <c r="C402" i="4"/>
  <c r="D402" i="4"/>
  <c r="A403" i="4"/>
  <c r="B403" i="4"/>
  <c r="C403" i="4"/>
  <c r="D403" i="4"/>
  <c r="A404" i="4"/>
  <c r="B404" i="4"/>
  <c r="C404" i="4"/>
  <c r="D404" i="4"/>
  <c r="A405" i="4"/>
  <c r="B405" i="4"/>
  <c r="C405" i="4"/>
  <c r="D405" i="4"/>
  <c r="A406" i="4"/>
  <c r="B406" i="4"/>
  <c r="C406" i="4"/>
  <c r="D406" i="4"/>
  <c r="A407" i="4"/>
  <c r="B407" i="4"/>
  <c r="C407" i="4"/>
  <c r="D407" i="4"/>
  <c r="A408" i="4"/>
  <c r="B408" i="4"/>
  <c r="C408" i="4"/>
  <c r="D408" i="4"/>
  <c r="A409" i="4"/>
  <c r="B409" i="4"/>
  <c r="C409" i="4"/>
  <c r="D409" i="4"/>
  <c r="A410" i="4"/>
  <c r="B410" i="4"/>
  <c r="C410" i="4"/>
  <c r="D410" i="4"/>
  <c r="A411" i="4"/>
  <c r="B411" i="4"/>
  <c r="C411" i="4"/>
  <c r="D411" i="4"/>
  <c r="A412" i="4"/>
  <c r="B412" i="4"/>
  <c r="C412" i="4"/>
  <c r="D412" i="4"/>
  <c r="A413" i="4"/>
  <c r="B413" i="4"/>
  <c r="C413" i="4"/>
  <c r="D413" i="4"/>
  <c r="A414" i="4"/>
  <c r="B414" i="4"/>
  <c r="C414" i="4"/>
  <c r="D414" i="4"/>
  <c r="A415" i="4"/>
  <c r="B415" i="4"/>
  <c r="C415" i="4"/>
  <c r="D415" i="4"/>
  <c r="A416" i="4"/>
  <c r="B416" i="4"/>
  <c r="C416" i="4"/>
  <c r="D416" i="4"/>
  <c r="A370" i="4"/>
  <c r="B370" i="4"/>
  <c r="C370" i="4"/>
  <c r="D370" i="4"/>
  <c r="A371" i="4"/>
  <c r="B371" i="4"/>
  <c r="C371" i="4"/>
  <c r="D371" i="4"/>
  <c r="A372" i="4"/>
  <c r="B372" i="4"/>
  <c r="C372" i="4"/>
  <c r="D372" i="4"/>
  <c r="A373" i="4"/>
  <c r="B373" i="4"/>
  <c r="C373" i="4"/>
  <c r="D373" i="4"/>
  <c r="A374" i="4"/>
  <c r="B374" i="4"/>
  <c r="C374" i="4"/>
  <c r="D374" i="4"/>
  <c r="A375" i="4"/>
  <c r="B375" i="4"/>
  <c r="C375" i="4"/>
  <c r="D375" i="4"/>
  <c r="A376" i="4"/>
  <c r="B376" i="4"/>
  <c r="C376" i="4"/>
  <c r="D376" i="4"/>
  <c r="A377" i="4"/>
  <c r="B377" i="4"/>
  <c r="C377" i="4"/>
  <c r="D377" i="4"/>
  <c r="A378" i="4"/>
  <c r="B378" i="4"/>
  <c r="C378" i="4"/>
  <c r="D378" i="4"/>
  <c r="A379" i="4"/>
  <c r="B379" i="4"/>
  <c r="C379" i="4"/>
  <c r="D379" i="4"/>
  <c r="A380" i="4"/>
  <c r="B380" i="4"/>
  <c r="C380" i="4"/>
  <c r="D380" i="4"/>
  <c r="A381" i="4"/>
  <c r="B381" i="4"/>
  <c r="C381" i="4"/>
  <c r="D381" i="4"/>
  <c r="A382" i="4"/>
  <c r="B382" i="4"/>
  <c r="C382" i="4"/>
  <c r="D382" i="4"/>
  <c r="A383" i="4"/>
  <c r="B383" i="4"/>
  <c r="C383" i="4"/>
  <c r="D383" i="4"/>
  <c r="A384" i="4"/>
  <c r="B384" i="4"/>
  <c r="C384" i="4"/>
  <c r="D384" i="4"/>
  <c r="A385" i="4"/>
  <c r="B385" i="4"/>
  <c r="C385" i="4"/>
  <c r="D385" i="4"/>
  <c r="A386" i="4"/>
  <c r="B386" i="4"/>
  <c r="C386" i="4"/>
  <c r="D386" i="4"/>
  <c r="A387" i="4"/>
  <c r="B387" i="4"/>
  <c r="C387" i="4"/>
  <c r="D387" i="4"/>
  <c r="A388" i="4"/>
  <c r="B388" i="4"/>
  <c r="C388" i="4"/>
  <c r="D388" i="4"/>
  <c r="A389" i="4"/>
  <c r="B389" i="4"/>
  <c r="C389" i="4"/>
  <c r="D389" i="4"/>
  <c r="A390" i="4"/>
  <c r="B390" i="4"/>
  <c r="C390" i="4"/>
  <c r="D390" i="4"/>
  <c r="A391" i="4"/>
  <c r="B391" i="4"/>
  <c r="C391" i="4"/>
  <c r="D391" i="4"/>
  <c r="A392" i="4"/>
  <c r="B392" i="4"/>
  <c r="C392" i="4"/>
  <c r="D392" i="4"/>
  <c r="A393" i="4"/>
  <c r="B393" i="4"/>
  <c r="C393" i="4"/>
  <c r="D393" i="4"/>
  <c r="A394" i="4"/>
  <c r="B394" i="4"/>
  <c r="C394" i="4"/>
  <c r="D394" i="4"/>
  <c r="A395" i="4"/>
  <c r="B395" i="4"/>
  <c r="C395" i="4"/>
  <c r="D395" i="4"/>
  <c r="A396" i="4"/>
  <c r="B396" i="4"/>
  <c r="C396" i="4"/>
  <c r="D396" i="4"/>
  <c r="A350" i="4"/>
  <c r="B350" i="4"/>
  <c r="C350" i="4"/>
  <c r="D350" i="4"/>
  <c r="A351" i="4"/>
  <c r="B351" i="4"/>
  <c r="C351" i="4"/>
  <c r="D351" i="4"/>
  <c r="A352" i="4"/>
  <c r="B352" i="4"/>
  <c r="C352" i="4"/>
  <c r="D352" i="4"/>
  <c r="A353" i="4"/>
  <c r="B353" i="4"/>
  <c r="C353" i="4"/>
  <c r="D353" i="4"/>
  <c r="A354" i="4"/>
  <c r="B354" i="4"/>
  <c r="C354" i="4"/>
  <c r="D354" i="4"/>
  <c r="A355" i="4"/>
  <c r="B355" i="4"/>
  <c r="C355" i="4"/>
  <c r="D355" i="4"/>
  <c r="A356" i="4"/>
  <c r="B356" i="4"/>
  <c r="C356" i="4"/>
  <c r="D356" i="4"/>
  <c r="A357" i="4"/>
  <c r="B357" i="4"/>
  <c r="C357" i="4"/>
  <c r="D357" i="4"/>
  <c r="A358" i="4"/>
  <c r="B358" i="4"/>
  <c r="C358" i="4"/>
  <c r="D358" i="4"/>
  <c r="A359" i="4"/>
  <c r="B359" i="4"/>
  <c r="C359" i="4"/>
  <c r="D359" i="4"/>
  <c r="A360" i="4"/>
  <c r="B360" i="4"/>
  <c r="C360" i="4"/>
  <c r="D360" i="4"/>
  <c r="A361" i="4"/>
  <c r="B361" i="4"/>
  <c r="C361" i="4"/>
  <c r="D361" i="4"/>
  <c r="A362" i="4"/>
  <c r="B362" i="4"/>
  <c r="C362" i="4"/>
  <c r="D362" i="4"/>
  <c r="A363" i="4"/>
  <c r="B363" i="4"/>
  <c r="C363" i="4"/>
  <c r="D363" i="4"/>
  <c r="A364" i="4"/>
  <c r="B364" i="4"/>
  <c r="C364" i="4"/>
  <c r="D364" i="4"/>
  <c r="A365" i="4"/>
  <c r="B365" i="4"/>
  <c r="C365" i="4"/>
  <c r="D365" i="4"/>
  <c r="A366" i="4"/>
  <c r="B366" i="4"/>
  <c r="C366" i="4"/>
  <c r="D366" i="4"/>
  <c r="A367" i="4"/>
  <c r="B367" i="4"/>
  <c r="C367" i="4"/>
  <c r="D367" i="4"/>
  <c r="A368" i="4"/>
  <c r="B368" i="4"/>
  <c r="C368" i="4"/>
  <c r="D368" i="4"/>
  <c r="A369" i="4"/>
  <c r="B369" i="4"/>
  <c r="C369" i="4"/>
  <c r="D369" i="4"/>
  <c r="A329" i="4"/>
  <c r="B329" i="4"/>
  <c r="C329" i="4"/>
  <c r="D329" i="4"/>
  <c r="A330" i="4"/>
  <c r="B330" i="4"/>
  <c r="C330" i="4"/>
  <c r="D330" i="4"/>
  <c r="A331" i="4"/>
  <c r="B331" i="4"/>
  <c r="C331" i="4"/>
  <c r="D331" i="4"/>
  <c r="A332" i="4"/>
  <c r="B332" i="4"/>
  <c r="C332" i="4"/>
  <c r="D332" i="4"/>
  <c r="A333" i="4"/>
  <c r="B333" i="4"/>
  <c r="C333" i="4"/>
  <c r="D333" i="4"/>
  <c r="A334" i="4"/>
  <c r="B334" i="4"/>
  <c r="C334" i="4"/>
  <c r="D334" i="4"/>
  <c r="A335" i="4"/>
  <c r="B335" i="4"/>
  <c r="C335" i="4"/>
  <c r="D335" i="4"/>
  <c r="A336" i="4"/>
  <c r="B336" i="4"/>
  <c r="C336" i="4"/>
  <c r="D336" i="4"/>
  <c r="A337" i="4"/>
  <c r="B337" i="4"/>
  <c r="C337" i="4"/>
  <c r="D337" i="4"/>
  <c r="A338" i="4"/>
  <c r="B338" i="4"/>
  <c r="C338" i="4"/>
  <c r="D338" i="4"/>
  <c r="A339" i="4"/>
  <c r="B339" i="4"/>
  <c r="C339" i="4"/>
  <c r="D339" i="4"/>
  <c r="A340" i="4"/>
  <c r="B340" i="4"/>
  <c r="C340" i="4"/>
  <c r="D340" i="4"/>
  <c r="A341" i="4"/>
  <c r="B341" i="4"/>
  <c r="C341" i="4"/>
  <c r="D341" i="4"/>
  <c r="A342" i="4"/>
  <c r="B342" i="4"/>
  <c r="C342" i="4"/>
  <c r="D342" i="4"/>
  <c r="A343" i="4"/>
  <c r="B343" i="4"/>
  <c r="C343" i="4"/>
  <c r="D343" i="4"/>
  <c r="A344" i="4"/>
  <c r="B344" i="4"/>
  <c r="C344" i="4"/>
  <c r="D344" i="4"/>
  <c r="A345" i="4"/>
  <c r="B345" i="4"/>
  <c r="C345" i="4"/>
  <c r="D345" i="4"/>
  <c r="A346" i="4"/>
  <c r="B346" i="4"/>
  <c r="C346" i="4"/>
  <c r="D346" i="4"/>
  <c r="A347" i="4"/>
  <c r="B347" i="4"/>
  <c r="C347" i="4"/>
  <c r="D347" i="4"/>
  <c r="A348" i="4"/>
  <c r="B348" i="4"/>
  <c r="C348" i="4"/>
  <c r="D348" i="4"/>
  <c r="A349" i="4"/>
  <c r="B349" i="4"/>
  <c r="C349" i="4"/>
  <c r="D349" i="4"/>
  <c r="A229" i="4"/>
  <c r="B229" i="4"/>
  <c r="C229" i="4"/>
  <c r="D229" i="4"/>
  <c r="A230" i="4"/>
  <c r="B230" i="4"/>
  <c r="C230" i="4"/>
  <c r="D230" i="4"/>
  <c r="A231" i="4"/>
  <c r="B231" i="4"/>
  <c r="C231" i="4"/>
  <c r="D231" i="4"/>
  <c r="A232" i="4"/>
  <c r="B232" i="4"/>
  <c r="C232" i="4"/>
  <c r="D232" i="4"/>
  <c r="A233" i="4"/>
  <c r="B233" i="4"/>
  <c r="C233" i="4"/>
  <c r="D233" i="4"/>
  <c r="A234" i="4"/>
  <c r="B234" i="4"/>
  <c r="C234" i="4"/>
  <c r="D234" i="4"/>
  <c r="A235" i="4"/>
  <c r="B235" i="4"/>
  <c r="C235" i="4"/>
  <c r="D235" i="4"/>
  <c r="A236" i="4"/>
  <c r="B236" i="4"/>
  <c r="C236" i="4"/>
  <c r="D236" i="4"/>
  <c r="A237" i="4"/>
  <c r="B237" i="4"/>
  <c r="C237" i="4"/>
  <c r="D237" i="4"/>
  <c r="A238" i="4"/>
  <c r="B238" i="4"/>
  <c r="C238" i="4"/>
  <c r="D238" i="4"/>
  <c r="A239" i="4"/>
  <c r="B239" i="4"/>
  <c r="C239" i="4"/>
  <c r="D239" i="4"/>
  <c r="A240" i="4"/>
  <c r="B240" i="4"/>
  <c r="C240" i="4"/>
  <c r="D240" i="4"/>
  <c r="A241" i="4"/>
  <c r="B241" i="4"/>
  <c r="C241" i="4"/>
  <c r="D241" i="4"/>
  <c r="A242" i="4"/>
  <c r="B242" i="4"/>
  <c r="C242" i="4"/>
  <c r="D242" i="4"/>
  <c r="A243" i="4"/>
  <c r="B243" i="4"/>
  <c r="C243" i="4"/>
  <c r="D243" i="4"/>
  <c r="A244" i="4"/>
  <c r="B244" i="4"/>
  <c r="C244" i="4"/>
  <c r="D244" i="4"/>
  <c r="A245" i="4"/>
  <c r="B245" i="4"/>
  <c r="C245" i="4"/>
  <c r="D245" i="4"/>
  <c r="A246" i="4"/>
  <c r="B246" i="4"/>
  <c r="C246" i="4"/>
  <c r="D246" i="4"/>
  <c r="A247" i="4"/>
  <c r="B247" i="4"/>
  <c r="C247" i="4"/>
  <c r="D247" i="4"/>
  <c r="A248" i="4"/>
  <c r="B248" i="4"/>
  <c r="C248" i="4"/>
  <c r="D248" i="4"/>
  <c r="A249" i="4"/>
  <c r="B249" i="4"/>
  <c r="C249" i="4"/>
  <c r="D249" i="4"/>
  <c r="A250" i="4"/>
  <c r="B250" i="4"/>
  <c r="C250" i="4"/>
  <c r="D250" i="4"/>
  <c r="A251" i="4"/>
  <c r="B251" i="4"/>
  <c r="C251" i="4"/>
  <c r="D251" i="4"/>
  <c r="A252" i="4"/>
  <c r="B252" i="4"/>
  <c r="C252" i="4"/>
  <c r="D252" i="4"/>
  <c r="A253" i="4"/>
  <c r="B253" i="4"/>
  <c r="C253" i="4"/>
  <c r="D253" i="4"/>
  <c r="A254" i="4"/>
  <c r="B254" i="4"/>
  <c r="C254" i="4"/>
  <c r="D254" i="4"/>
  <c r="A255" i="4"/>
  <c r="B255" i="4"/>
  <c r="C255" i="4"/>
  <c r="D255" i="4"/>
  <c r="A256" i="4"/>
  <c r="B256" i="4"/>
  <c r="C256" i="4"/>
  <c r="D256" i="4"/>
  <c r="A257" i="4"/>
  <c r="B257" i="4"/>
  <c r="C257" i="4"/>
  <c r="D257" i="4"/>
  <c r="A258" i="4"/>
  <c r="B258" i="4"/>
  <c r="C258" i="4"/>
  <c r="D258" i="4"/>
  <c r="A259" i="4"/>
  <c r="B259" i="4"/>
  <c r="C259" i="4"/>
  <c r="D259" i="4"/>
  <c r="A260" i="4"/>
  <c r="B260" i="4"/>
  <c r="C260" i="4"/>
  <c r="D260" i="4"/>
  <c r="A261" i="4"/>
  <c r="B261" i="4"/>
  <c r="C261" i="4"/>
  <c r="D261" i="4"/>
  <c r="A262" i="4"/>
  <c r="B262" i="4"/>
  <c r="C262" i="4"/>
  <c r="D262" i="4"/>
  <c r="A263" i="4"/>
  <c r="B263" i="4"/>
  <c r="C263" i="4"/>
  <c r="D263" i="4"/>
  <c r="A264" i="4"/>
  <c r="B264" i="4"/>
  <c r="C264" i="4"/>
  <c r="D264" i="4"/>
  <c r="A265" i="4"/>
  <c r="B265" i="4"/>
  <c r="C265" i="4"/>
  <c r="D265" i="4"/>
  <c r="A266" i="4"/>
  <c r="B266" i="4"/>
  <c r="C266" i="4"/>
  <c r="D266" i="4"/>
  <c r="A267" i="4"/>
  <c r="B267" i="4"/>
  <c r="C267" i="4"/>
  <c r="D267" i="4"/>
  <c r="A268" i="4"/>
  <c r="B268" i="4"/>
  <c r="C268" i="4"/>
  <c r="D268" i="4"/>
  <c r="A269" i="4"/>
  <c r="B269" i="4"/>
  <c r="C269" i="4"/>
  <c r="D269" i="4"/>
  <c r="A270" i="4"/>
  <c r="B270" i="4"/>
  <c r="C270" i="4"/>
  <c r="D270" i="4"/>
  <c r="A271" i="4"/>
  <c r="B271" i="4"/>
  <c r="C271" i="4"/>
  <c r="D271" i="4"/>
  <c r="A272" i="4"/>
  <c r="B272" i="4"/>
  <c r="C272" i="4"/>
  <c r="D272" i="4"/>
  <c r="A273" i="4"/>
  <c r="B273" i="4"/>
  <c r="C273" i="4"/>
  <c r="D273" i="4"/>
  <c r="A274" i="4"/>
  <c r="B274" i="4"/>
  <c r="C274" i="4"/>
  <c r="D274" i="4"/>
  <c r="A275" i="4"/>
  <c r="B275" i="4"/>
  <c r="C275" i="4"/>
  <c r="D275" i="4"/>
  <c r="A276" i="4"/>
  <c r="B276" i="4"/>
  <c r="C276" i="4"/>
  <c r="D276" i="4"/>
  <c r="A277" i="4"/>
  <c r="B277" i="4"/>
  <c r="C277" i="4"/>
  <c r="D277" i="4"/>
  <c r="A278" i="4"/>
  <c r="B278" i="4"/>
  <c r="C278" i="4"/>
  <c r="D278" i="4"/>
  <c r="A279" i="4"/>
  <c r="B279" i="4"/>
  <c r="C279" i="4"/>
  <c r="D279" i="4"/>
  <c r="A280" i="4"/>
  <c r="B280" i="4"/>
  <c r="C280" i="4"/>
  <c r="D280" i="4"/>
  <c r="A281" i="4"/>
  <c r="B281" i="4"/>
  <c r="C281" i="4"/>
  <c r="D281" i="4"/>
  <c r="A282" i="4"/>
  <c r="B282" i="4"/>
  <c r="C282" i="4"/>
  <c r="D282" i="4"/>
  <c r="A283" i="4"/>
  <c r="B283" i="4"/>
  <c r="C283" i="4"/>
  <c r="D283" i="4"/>
  <c r="A284" i="4"/>
  <c r="B284" i="4"/>
  <c r="C284" i="4"/>
  <c r="D284" i="4"/>
  <c r="A285" i="4"/>
  <c r="B285" i="4"/>
  <c r="C285" i="4"/>
  <c r="D285" i="4"/>
  <c r="A286" i="4"/>
  <c r="B286" i="4"/>
  <c r="C286" i="4"/>
  <c r="D286" i="4"/>
  <c r="A287" i="4"/>
  <c r="B287" i="4"/>
  <c r="C287" i="4"/>
  <c r="D287" i="4"/>
  <c r="A288" i="4"/>
  <c r="B288" i="4"/>
  <c r="C288" i="4"/>
  <c r="D288" i="4"/>
  <c r="A289" i="4"/>
  <c r="B289" i="4"/>
  <c r="C289" i="4"/>
  <c r="D289" i="4"/>
  <c r="A290" i="4"/>
  <c r="B290" i="4"/>
  <c r="C290" i="4"/>
  <c r="D290" i="4"/>
  <c r="A291" i="4"/>
  <c r="B291" i="4"/>
  <c r="C291" i="4"/>
  <c r="D291" i="4"/>
  <c r="A292" i="4"/>
  <c r="B292" i="4"/>
  <c r="C292" i="4"/>
  <c r="D292" i="4"/>
  <c r="A293" i="4"/>
  <c r="B293" i="4"/>
  <c r="C293" i="4"/>
  <c r="D293" i="4"/>
  <c r="A294" i="4"/>
  <c r="B294" i="4"/>
  <c r="C294" i="4"/>
  <c r="D294" i="4"/>
  <c r="A295" i="4"/>
  <c r="B295" i="4"/>
  <c r="C295" i="4"/>
  <c r="D295" i="4"/>
  <c r="A296" i="4"/>
  <c r="B296" i="4"/>
  <c r="C296" i="4"/>
  <c r="D296" i="4"/>
  <c r="A297" i="4"/>
  <c r="B297" i="4"/>
  <c r="C297" i="4"/>
  <c r="D297" i="4"/>
  <c r="A298" i="4"/>
  <c r="B298" i="4"/>
  <c r="C298" i="4"/>
  <c r="D298" i="4"/>
  <c r="A299" i="4"/>
  <c r="B299" i="4"/>
  <c r="C299" i="4"/>
  <c r="D299" i="4"/>
  <c r="A300" i="4"/>
  <c r="B300" i="4"/>
  <c r="C300" i="4"/>
  <c r="D300" i="4"/>
  <c r="A301" i="4"/>
  <c r="B301" i="4"/>
  <c r="C301" i="4"/>
  <c r="D301" i="4"/>
  <c r="A302" i="4"/>
  <c r="B302" i="4"/>
  <c r="C302" i="4"/>
  <c r="D302" i="4"/>
  <c r="A303" i="4"/>
  <c r="B303" i="4"/>
  <c r="C303" i="4"/>
  <c r="D303" i="4"/>
  <c r="A304" i="4"/>
  <c r="B304" i="4"/>
  <c r="C304" i="4"/>
  <c r="D304" i="4"/>
  <c r="A305" i="4"/>
  <c r="B305" i="4"/>
  <c r="C305" i="4"/>
  <c r="D305" i="4"/>
  <c r="A306" i="4"/>
  <c r="B306" i="4"/>
  <c r="C306" i="4"/>
  <c r="D306" i="4"/>
  <c r="A307" i="4"/>
  <c r="B307" i="4"/>
  <c r="C307" i="4"/>
  <c r="D307" i="4"/>
  <c r="A308" i="4"/>
  <c r="B308" i="4"/>
  <c r="C308" i="4"/>
  <c r="D308" i="4"/>
  <c r="A309" i="4"/>
  <c r="B309" i="4"/>
  <c r="C309" i="4"/>
  <c r="D309" i="4"/>
  <c r="A310" i="4"/>
  <c r="B310" i="4"/>
  <c r="C310" i="4"/>
  <c r="D310" i="4"/>
  <c r="A311" i="4"/>
  <c r="B311" i="4"/>
  <c r="C311" i="4"/>
  <c r="D311" i="4"/>
  <c r="A312" i="4"/>
  <c r="B312" i="4"/>
  <c r="C312" i="4"/>
  <c r="D312" i="4"/>
  <c r="A313" i="4"/>
  <c r="B313" i="4"/>
  <c r="C313" i="4"/>
  <c r="D313" i="4"/>
  <c r="A314" i="4"/>
  <c r="B314" i="4"/>
  <c r="C314" i="4"/>
  <c r="D314" i="4"/>
  <c r="A315" i="4"/>
  <c r="B315" i="4"/>
  <c r="C315" i="4"/>
  <c r="D315" i="4"/>
  <c r="A316" i="4"/>
  <c r="B316" i="4"/>
  <c r="C316" i="4"/>
  <c r="D316" i="4"/>
  <c r="A317" i="4"/>
  <c r="B317" i="4"/>
  <c r="C317" i="4"/>
  <c r="D317" i="4"/>
  <c r="A318" i="4"/>
  <c r="B318" i="4"/>
  <c r="C318" i="4"/>
  <c r="D318" i="4"/>
  <c r="A319" i="4"/>
  <c r="B319" i="4"/>
  <c r="C319" i="4"/>
  <c r="D319" i="4"/>
  <c r="A320" i="4"/>
  <c r="B320" i="4"/>
  <c r="C320" i="4"/>
  <c r="D320" i="4"/>
  <c r="A321" i="4"/>
  <c r="B321" i="4"/>
  <c r="C321" i="4"/>
  <c r="D321" i="4"/>
  <c r="A322" i="4"/>
  <c r="B322" i="4"/>
  <c r="C322" i="4"/>
  <c r="D322" i="4"/>
  <c r="A323" i="4"/>
  <c r="B323" i="4"/>
  <c r="C323" i="4"/>
  <c r="D323" i="4"/>
  <c r="A324" i="4"/>
  <c r="B324" i="4"/>
  <c r="C324" i="4"/>
  <c r="D324" i="4"/>
  <c r="A325" i="4"/>
  <c r="B325" i="4"/>
  <c r="C325" i="4"/>
  <c r="D325" i="4"/>
  <c r="A326" i="4"/>
  <c r="B326" i="4"/>
  <c r="C326" i="4"/>
  <c r="D326" i="4"/>
  <c r="A327" i="4"/>
  <c r="B327" i="4"/>
  <c r="C327" i="4"/>
  <c r="D327" i="4"/>
  <c r="A328" i="4"/>
  <c r="B328" i="4"/>
  <c r="C328" i="4"/>
  <c r="D328" i="4"/>
  <c r="A144" i="4"/>
  <c r="B144" i="4"/>
  <c r="C144" i="4"/>
  <c r="D144" i="4"/>
  <c r="A145" i="4"/>
  <c r="B145" i="4"/>
  <c r="C145" i="4"/>
  <c r="D145" i="4"/>
  <c r="A146" i="4"/>
  <c r="B146" i="4"/>
  <c r="C146" i="4"/>
  <c r="D146" i="4"/>
  <c r="A147" i="4"/>
  <c r="B147" i="4"/>
  <c r="C147" i="4"/>
  <c r="D147" i="4"/>
  <c r="A148" i="4"/>
  <c r="B148" i="4"/>
  <c r="C148" i="4"/>
  <c r="D148" i="4"/>
  <c r="A149" i="4"/>
  <c r="B149" i="4"/>
  <c r="C149" i="4"/>
  <c r="D149" i="4"/>
  <c r="A150" i="4"/>
  <c r="B150" i="4"/>
  <c r="C150" i="4"/>
  <c r="D150" i="4"/>
  <c r="A151" i="4"/>
  <c r="B151" i="4"/>
  <c r="C151" i="4"/>
  <c r="D151" i="4"/>
  <c r="A152" i="4"/>
  <c r="B152" i="4"/>
  <c r="C152" i="4"/>
  <c r="D152" i="4"/>
  <c r="A153" i="4"/>
  <c r="B153" i="4"/>
  <c r="C153" i="4"/>
  <c r="D153" i="4"/>
  <c r="A154" i="4"/>
  <c r="B154" i="4"/>
  <c r="C154" i="4"/>
  <c r="D154" i="4"/>
  <c r="A155" i="4"/>
  <c r="B155" i="4"/>
  <c r="C155" i="4"/>
  <c r="D155" i="4"/>
  <c r="A156" i="4"/>
  <c r="B156" i="4"/>
  <c r="C156" i="4"/>
  <c r="D156" i="4"/>
  <c r="A157" i="4"/>
  <c r="B157" i="4"/>
  <c r="C157" i="4"/>
  <c r="D157" i="4"/>
  <c r="A158" i="4"/>
  <c r="B158" i="4"/>
  <c r="C158" i="4"/>
  <c r="D158" i="4"/>
  <c r="A159" i="4"/>
  <c r="B159" i="4"/>
  <c r="C159" i="4"/>
  <c r="D159" i="4"/>
  <c r="A160" i="4"/>
  <c r="B160" i="4"/>
  <c r="C160" i="4"/>
  <c r="D160" i="4"/>
  <c r="A161" i="4"/>
  <c r="B161" i="4"/>
  <c r="C161" i="4"/>
  <c r="D161" i="4"/>
  <c r="A162" i="4"/>
  <c r="B162" i="4"/>
  <c r="C162" i="4"/>
  <c r="D162" i="4"/>
  <c r="A163" i="4"/>
  <c r="B163" i="4"/>
  <c r="C163" i="4"/>
  <c r="D163" i="4"/>
  <c r="A164" i="4"/>
  <c r="B164" i="4"/>
  <c r="C164" i="4"/>
  <c r="D164" i="4"/>
  <c r="A165" i="4"/>
  <c r="B165" i="4"/>
  <c r="C165" i="4"/>
  <c r="D165" i="4"/>
  <c r="A166" i="4"/>
  <c r="B166" i="4"/>
  <c r="C166" i="4"/>
  <c r="D166" i="4"/>
  <c r="A167" i="4"/>
  <c r="B167" i="4"/>
  <c r="C167" i="4"/>
  <c r="D167" i="4"/>
  <c r="A168" i="4"/>
  <c r="B168" i="4"/>
  <c r="C168" i="4"/>
  <c r="D168" i="4"/>
  <c r="A169" i="4"/>
  <c r="B169" i="4"/>
  <c r="C169" i="4"/>
  <c r="D169" i="4"/>
  <c r="A170" i="4"/>
  <c r="B170" i="4"/>
  <c r="C170" i="4"/>
  <c r="D170" i="4"/>
  <c r="A171" i="4"/>
  <c r="B171" i="4"/>
  <c r="C171" i="4"/>
  <c r="D171" i="4"/>
  <c r="A172" i="4"/>
  <c r="B172" i="4"/>
  <c r="C172" i="4"/>
  <c r="D172" i="4"/>
  <c r="A173" i="4"/>
  <c r="B173" i="4"/>
  <c r="C173" i="4"/>
  <c r="D173" i="4"/>
  <c r="A174" i="4"/>
  <c r="B174" i="4"/>
  <c r="C174" i="4"/>
  <c r="D174" i="4"/>
  <c r="A175" i="4"/>
  <c r="B175" i="4"/>
  <c r="C175" i="4"/>
  <c r="D175" i="4"/>
  <c r="A176" i="4"/>
  <c r="B176" i="4"/>
  <c r="C176" i="4"/>
  <c r="D176" i="4"/>
  <c r="A177" i="4"/>
  <c r="B177" i="4"/>
  <c r="C177" i="4"/>
  <c r="D177" i="4"/>
  <c r="A178" i="4"/>
  <c r="B178" i="4"/>
  <c r="C178" i="4"/>
  <c r="D178" i="4"/>
  <c r="A179" i="4"/>
  <c r="B179" i="4"/>
  <c r="C179" i="4"/>
  <c r="D179" i="4"/>
  <c r="A180" i="4"/>
  <c r="B180" i="4"/>
  <c r="C180" i="4"/>
  <c r="D180" i="4"/>
  <c r="A181" i="4"/>
  <c r="B181" i="4"/>
  <c r="C181" i="4"/>
  <c r="D181" i="4"/>
  <c r="A182" i="4"/>
  <c r="B182" i="4"/>
  <c r="C182" i="4"/>
  <c r="D182" i="4"/>
  <c r="A183" i="4"/>
  <c r="B183" i="4"/>
  <c r="C183" i="4"/>
  <c r="D183" i="4"/>
  <c r="A184" i="4"/>
  <c r="B184" i="4"/>
  <c r="C184" i="4"/>
  <c r="D184" i="4"/>
  <c r="A185" i="4"/>
  <c r="B185" i="4"/>
  <c r="C185" i="4"/>
  <c r="D185" i="4"/>
  <c r="A186" i="4"/>
  <c r="B186" i="4"/>
  <c r="C186" i="4"/>
  <c r="D186" i="4"/>
  <c r="A187" i="4"/>
  <c r="B187" i="4"/>
  <c r="C187" i="4"/>
  <c r="D187" i="4"/>
  <c r="A188" i="4"/>
  <c r="B188" i="4"/>
  <c r="C188" i="4"/>
  <c r="D188" i="4"/>
  <c r="A189" i="4"/>
  <c r="B189" i="4"/>
  <c r="C189" i="4"/>
  <c r="D189" i="4"/>
  <c r="A190" i="4"/>
  <c r="B190" i="4"/>
  <c r="C190" i="4"/>
  <c r="D190" i="4"/>
  <c r="A191" i="4"/>
  <c r="B191" i="4"/>
  <c r="C191" i="4"/>
  <c r="D191" i="4"/>
  <c r="A192" i="4"/>
  <c r="B192" i="4"/>
  <c r="C192" i="4"/>
  <c r="D192" i="4"/>
  <c r="A193" i="4"/>
  <c r="B193" i="4"/>
  <c r="C193" i="4"/>
  <c r="D193" i="4"/>
  <c r="A194" i="4"/>
  <c r="B194" i="4"/>
  <c r="C194" i="4"/>
  <c r="D194" i="4"/>
  <c r="A195" i="4"/>
  <c r="B195" i="4"/>
  <c r="C195" i="4"/>
  <c r="D195" i="4"/>
  <c r="A196" i="4"/>
  <c r="B196" i="4"/>
  <c r="C196" i="4"/>
  <c r="D196" i="4"/>
  <c r="A197" i="4"/>
  <c r="B197" i="4"/>
  <c r="C197" i="4"/>
  <c r="D197" i="4"/>
  <c r="A198" i="4"/>
  <c r="B198" i="4"/>
  <c r="C198" i="4"/>
  <c r="D198" i="4"/>
  <c r="A199" i="4"/>
  <c r="B199" i="4"/>
  <c r="C199" i="4"/>
  <c r="D199" i="4"/>
  <c r="A200" i="4"/>
  <c r="B200" i="4"/>
  <c r="C200" i="4"/>
  <c r="D200" i="4"/>
  <c r="A201" i="4"/>
  <c r="B201" i="4"/>
  <c r="C201" i="4"/>
  <c r="D201" i="4"/>
  <c r="A202" i="4"/>
  <c r="B202" i="4"/>
  <c r="C202" i="4"/>
  <c r="D202" i="4"/>
  <c r="A203" i="4"/>
  <c r="B203" i="4"/>
  <c r="C203" i="4"/>
  <c r="D203" i="4"/>
  <c r="A204" i="4"/>
  <c r="B204" i="4"/>
  <c r="C204" i="4"/>
  <c r="D204" i="4"/>
  <c r="A205" i="4"/>
  <c r="B205" i="4"/>
  <c r="C205" i="4"/>
  <c r="D205" i="4"/>
  <c r="A206" i="4"/>
  <c r="B206" i="4"/>
  <c r="C206" i="4"/>
  <c r="D206" i="4"/>
  <c r="A207" i="4"/>
  <c r="B207" i="4"/>
  <c r="C207" i="4"/>
  <c r="D207" i="4"/>
  <c r="A208" i="4"/>
  <c r="B208" i="4"/>
  <c r="C208" i="4"/>
  <c r="D208" i="4"/>
  <c r="A209" i="4"/>
  <c r="B209" i="4"/>
  <c r="C209" i="4"/>
  <c r="D209" i="4"/>
  <c r="A210" i="4"/>
  <c r="B210" i="4"/>
  <c r="C210" i="4"/>
  <c r="D210" i="4"/>
  <c r="A211" i="4"/>
  <c r="B211" i="4"/>
  <c r="C211" i="4"/>
  <c r="D211" i="4"/>
  <c r="A212" i="4"/>
  <c r="B212" i="4"/>
  <c r="C212" i="4"/>
  <c r="D212" i="4"/>
  <c r="A213" i="4"/>
  <c r="B213" i="4"/>
  <c r="C213" i="4"/>
  <c r="D213" i="4"/>
  <c r="A214" i="4"/>
  <c r="B214" i="4"/>
  <c r="C214" i="4"/>
  <c r="D214" i="4"/>
  <c r="A215" i="4"/>
  <c r="B215" i="4"/>
  <c r="C215" i="4"/>
  <c r="D215" i="4"/>
  <c r="A216" i="4"/>
  <c r="B216" i="4"/>
  <c r="C216" i="4"/>
  <c r="D216" i="4"/>
  <c r="A217" i="4"/>
  <c r="B217" i="4"/>
  <c r="C217" i="4"/>
  <c r="D217" i="4"/>
  <c r="A218" i="4"/>
  <c r="B218" i="4"/>
  <c r="C218" i="4"/>
  <c r="D218" i="4"/>
  <c r="A219" i="4"/>
  <c r="B219" i="4"/>
  <c r="C219" i="4"/>
  <c r="D219" i="4"/>
  <c r="A220" i="4"/>
  <c r="B220" i="4"/>
  <c r="C220" i="4"/>
  <c r="D220" i="4"/>
  <c r="A221" i="4"/>
  <c r="B221" i="4"/>
  <c r="C221" i="4"/>
  <c r="D221" i="4"/>
  <c r="A222" i="4"/>
  <c r="B222" i="4"/>
  <c r="C222" i="4"/>
  <c r="D222" i="4"/>
  <c r="A223" i="4"/>
  <c r="B223" i="4"/>
  <c r="C223" i="4"/>
  <c r="D223" i="4"/>
  <c r="A224" i="4"/>
  <c r="B224" i="4"/>
  <c r="C224" i="4"/>
  <c r="D224" i="4"/>
  <c r="A225" i="4"/>
  <c r="B225" i="4"/>
  <c r="C225" i="4"/>
  <c r="D225" i="4"/>
  <c r="A226" i="4"/>
  <c r="B226" i="4"/>
  <c r="C226" i="4"/>
  <c r="D226" i="4"/>
  <c r="A227" i="4"/>
  <c r="B227" i="4"/>
  <c r="C227" i="4"/>
  <c r="D227" i="4"/>
  <c r="A228" i="4"/>
  <c r="B228" i="4"/>
  <c r="C228" i="4"/>
  <c r="D228" i="4"/>
  <c r="A3" i="4"/>
  <c r="B3" i="4"/>
  <c r="C3" i="4"/>
  <c r="D3" i="4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A122" i="4"/>
  <c r="B122" i="4"/>
  <c r="C122" i="4"/>
  <c r="D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A128" i="4"/>
  <c r="B128" i="4"/>
  <c r="C128" i="4"/>
  <c r="D128" i="4"/>
  <c r="A129" i="4"/>
  <c r="B129" i="4"/>
  <c r="C129" i="4"/>
  <c r="D129" i="4"/>
  <c r="A130" i="4"/>
  <c r="B130" i="4"/>
  <c r="C130" i="4"/>
  <c r="D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A134" i="4"/>
  <c r="B134" i="4"/>
  <c r="C134" i="4"/>
  <c r="D134" i="4"/>
  <c r="A135" i="4"/>
  <c r="B135" i="4"/>
  <c r="C135" i="4"/>
  <c r="D135" i="4"/>
  <c r="A136" i="4"/>
  <c r="B136" i="4"/>
  <c r="C136" i="4"/>
  <c r="D136" i="4"/>
  <c r="A137" i="4"/>
  <c r="B137" i="4"/>
  <c r="C137" i="4"/>
  <c r="D137" i="4"/>
  <c r="A138" i="4"/>
  <c r="B138" i="4"/>
  <c r="C138" i="4"/>
  <c r="D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A142" i="4"/>
  <c r="B142" i="4"/>
  <c r="C142" i="4"/>
  <c r="D142" i="4"/>
  <c r="A143" i="4"/>
  <c r="B143" i="4"/>
  <c r="C143" i="4"/>
  <c r="D143" i="4"/>
  <c r="D2" i="4"/>
  <c r="C2" i="4"/>
  <c r="B2" i="4"/>
  <c r="A2" i="4"/>
  <c r="C2" i="3"/>
  <c r="A2" i="3" a="1"/>
  <c r="A2" i="3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3" i="2"/>
  <c r="C4" i="2"/>
  <c r="C5" i="2"/>
  <c r="C6" i="2"/>
  <c r="C7" i="2"/>
  <c r="C8" i="2"/>
  <c r="C9" i="2"/>
  <c r="C10" i="2"/>
  <c r="C11" i="2"/>
  <c r="C12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A35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<sst xmlns="http://schemas.openxmlformats.org/spreadsheetml/2006/main" count="1124" uniqueCount="690">
  <si>
    <t>Räume</t>
  </si>
  <si>
    <t>Albaiad</t>
  </si>
  <si>
    <t>Leen</t>
  </si>
  <si>
    <t>Albatran</t>
  </si>
  <si>
    <t>Murhf</t>
  </si>
  <si>
    <t>Belilovskiy</t>
  </si>
  <si>
    <t>Luka</t>
  </si>
  <si>
    <t>Birrenbach</t>
  </si>
  <si>
    <t>Mona</t>
  </si>
  <si>
    <t>Bornheim</t>
  </si>
  <si>
    <t>Ben</t>
  </si>
  <si>
    <t>Borodavchuk</t>
  </si>
  <si>
    <t>Denys</t>
  </si>
  <si>
    <t>Caglar</t>
  </si>
  <si>
    <t>Emir</t>
  </si>
  <si>
    <t>Carmona Rodriguez</t>
  </si>
  <si>
    <t>Emily</t>
  </si>
  <si>
    <t>Cazals</t>
  </si>
  <si>
    <t>Matthieu</t>
  </si>
  <si>
    <t>Effern</t>
  </si>
  <si>
    <t>Diego</t>
  </si>
  <si>
    <t>Engels</t>
  </si>
  <si>
    <t>Leonie</t>
  </si>
  <si>
    <t>Hartung</t>
  </si>
  <si>
    <t>Max Bao Nam</t>
  </si>
  <si>
    <t>Hoti</t>
  </si>
  <si>
    <t>Deliza</t>
  </si>
  <si>
    <t>Kartal</t>
  </si>
  <si>
    <t>Talia</t>
  </si>
  <si>
    <t>Korth</t>
  </si>
  <si>
    <t>Karla</t>
  </si>
  <si>
    <t>Köster</t>
  </si>
  <si>
    <t>Jana</t>
  </si>
  <si>
    <t>Krause</t>
  </si>
  <si>
    <t>Isabella</t>
  </si>
  <si>
    <t>Krueger</t>
  </si>
  <si>
    <t>Maximilian</t>
  </si>
  <si>
    <t>Nowack</t>
  </si>
  <si>
    <t>Laurin</t>
  </si>
  <si>
    <t>Ockenfels</t>
  </si>
  <si>
    <t>Jule</t>
  </si>
  <si>
    <t>Ruthenbeck</t>
  </si>
  <si>
    <t>Sibel</t>
  </si>
  <si>
    <t>Saal</t>
  </si>
  <si>
    <t>Anna-Maria</t>
  </si>
  <si>
    <t>Schmitz</t>
  </si>
  <si>
    <t>Martha-Louise</t>
  </si>
  <si>
    <t>Schneider</t>
  </si>
  <si>
    <t>Benedikt</t>
  </si>
  <si>
    <t>Sharma</t>
  </si>
  <si>
    <t>Riya</t>
  </si>
  <si>
    <t>Siebertz</t>
  </si>
  <si>
    <t>Elias</t>
  </si>
  <si>
    <t>Streeck</t>
  </si>
  <si>
    <t>Neele</t>
  </si>
  <si>
    <t>Zalesskaia</t>
  </si>
  <si>
    <t>Daria</t>
  </si>
  <si>
    <t>Name</t>
  </si>
  <si>
    <t>Vorname</t>
  </si>
  <si>
    <t>8a</t>
  </si>
  <si>
    <t>Alfter</t>
  </si>
  <si>
    <t>Julian</t>
  </si>
  <si>
    <t>Al Sharaa</t>
  </si>
  <si>
    <t>Hala</t>
  </si>
  <si>
    <t>Beyer</t>
  </si>
  <si>
    <t>Emil</t>
  </si>
  <si>
    <t>Chahid</t>
  </si>
  <si>
    <t>Jonas</t>
  </si>
  <si>
    <t>Do</t>
  </si>
  <si>
    <t>Thanh Long</t>
  </si>
  <si>
    <t>Dreglea</t>
  </si>
  <si>
    <t>Darius</t>
  </si>
  <si>
    <t>Duijvekam</t>
  </si>
  <si>
    <t>Lilly</t>
  </si>
  <si>
    <t>Firlus</t>
  </si>
  <si>
    <t>Julia</t>
  </si>
  <si>
    <t>Frömbgen</t>
  </si>
  <si>
    <t>Gambino-Kleemann</t>
  </si>
  <si>
    <t>Lia</t>
  </si>
  <si>
    <t>Hanft</t>
  </si>
  <si>
    <t>Laura</t>
  </si>
  <si>
    <t>Königs</t>
  </si>
  <si>
    <t>Anton</t>
  </si>
  <si>
    <t>Kowalik</t>
  </si>
  <si>
    <t>Jowita Aleksandra</t>
  </si>
  <si>
    <t>Nawlo</t>
  </si>
  <si>
    <t>Layan</t>
  </si>
  <si>
    <t>Neve</t>
  </si>
  <si>
    <t>Jean</t>
  </si>
  <si>
    <t>Lucas</t>
  </si>
  <si>
    <t>Probst</t>
  </si>
  <si>
    <t>Nikolas</t>
  </si>
  <si>
    <t>Reufels</t>
  </si>
  <si>
    <t>Sophie</t>
  </si>
  <si>
    <t>Riadi</t>
  </si>
  <si>
    <t>Linah</t>
  </si>
  <si>
    <t>Ruppert</t>
  </si>
  <si>
    <t>Sara</t>
  </si>
  <si>
    <t>Schwarz</t>
  </si>
  <si>
    <t>Mila</t>
  </si>
  <si>
    <t>Enno</t>
  </si>
  <si>
    <t>Stemann</t>
  </si>
  <si>
    <t>Vincent</t>
  </si>
  <si>
    <t>Suntrup</t>
  </si>
  <si>
    <t>Johannes Konrad</t>
  </si>
  <si>
    <t>Walter</t>
  </si>
  <si>
    <t>Katharina</t>
  </si>
  <si>
    <t>Wotzke</t>
  </si>
  <si>
    <t>Lina</t>
  </si>
  <si>
    <t>Zahn</t>
  </si>
  <si>
    <t>Sarah</t>
  </si>
  <si>
    <t>Zeichner</t>
  </si>
  <si>
    <t>Łukoszek</t>
  </si>
  <si>
    <t>Jan Henryk</t>
  </si>
  <si>
    <t>8b</t>
  </si>
  <si>
    <t>Antweiler</t>
  </si>
  <si>
    <t>Mike</t>
  </si>
  <si>
    <t>Bärnwald</t>
  </si>
  <si>
    <t>Celina</t>
  </si>
  <si>
    <t>Buhr</t>
  </si>
  <si>
    <t>Marlene</t>
  </si>
  <si>
    <t>Chunangamparampan</t>
  </si>
  <si>
    <t>Lena</t>
  </si>
  <si>
    <t>Collura</t>
  </si>
  <si>
    <t>Sanjo</t>
  </si>
  <si>
    <t>Dimitrievska</t>
  </si>
  <si>
    <t>Emilia</t>
  </si>
  <si>
    <t>Ermtraud</t>
  </si>
  <si>
    <t>Mia</t>
  </si>
  <si>
    <t>Frye</t>
  </si>
  <si>
    <t>Lúthien</t>
  </si>
  <si>
    <t>Hadaschik</t>
  </si>
  <si>
    <t>Greta</t>
  </si>
  <si>
    <t>Haupt</t>
  </si>
  <si>
    <t>Sofia</t>
  </si>
  <si>
    <t>Hoffmann</t>
  </si>
  <si>
    <t>Lara</t>
  </si>
  <si>
    <t>Jünger</t>
  </si>
  <si>
    <t>Luca</t>
  </si>
  <si>
    <t>Le</t>
  </si>
  <si>
    <t>Emily Bao Nhi</t>
  </si>
  <si>
    <t>Mertesacker</t>
  </si>
  <si>
    <t>Luke</t>
  </si>
  <si>
    <t>Nguyen</t>
  </si>
  <si>
    <t>Phung</t>
  </si>
  <si>
    <t>Niederée</t>
  </si>
  <si>
    <t>Marie Josefine</t>
  </si>
  <si>
    <t>Pogorelow</t>
  </si>
  <si>
    <t>Kristian</t>
  </si>
  <si>
    <t>Schoss</t>
  </si>
  <si>
    <t>Simonis</t>
  </si>
  <si>
    <t>Marisa</t>
  </si>
  <si>
    <t>Stein</t>
  </si>
  <si>
    <t>Lea Sophie</t>
  </si>
  <si>
    <t>Stumpf</t>
  </si>
  <si>
    <t>Melissa</t>
  </si>
  <si>
    <t>Swirsky</t>
  </si>
  <si>
    <t>Tanja</t>
  </si>
  <si>
    <t>Vetsch</t>
  </si>
  <si>
    <t>Ella</t>
  </si>
  <si>
    <t>Weiß</t>
  </si>
  <si>
    <t>Klara</t>
  </si>
  <si>
    <t>Benjamin</t>
  </si>
  <si>
    <t>Rosa</t>
  </si>
  <si>
    <t>8c</t>
  </si>
  <si>
    <t>9a</t>
  </si>
  <si>
    <t>Akden</t>
  </si>
  <si>
    <t>Caner</t>
  </si>
  <si>
    <t>Fossemer</t>
  </si>
  <si>
    <t>Amelie</t>
  </si>
  <si>
    <t>Francisco</t>
  </si>
  <si>
    <t>Qasim</t>
  </si>
  <si>
    <t>Glätzner</t>
  </si>
  <si>
    <t>Kauferstein</t>
  </si>
  <si>
    <t>Marlena</t>
  </si>
  <si>
    <t>Kedikoglu</t>
  </si>
  <si>
    <t>Harun</t>
  </si>
  <si>
    <t>Köpcke</t>
  </si>
  <si>
    <t>Kröger</t>
  </si>
  <si>
    <t>Ronja</t>
  </si>
  <si>
    <t>Kröll</t>
  </si>
  <si>
    <t>Maike</t>
  </si>
  <si>
    <t>Laniewski</t>
  </si>
  <si>
    <t>Michal</t>
  </si>
  <si>
    <t>Lopez</t>
  </si>
  <si>
    <t>Ilaria</t>
  </si>
  <si>
    <t>Martin</t>
  </si>
  <si>
    <t>Hannah</t>
  </si>
  <si>
    <t>Moch</t>
  </si>
  <si>
    <t>Demian</t>
  </si>
  <si>
    <t>Mohamed</t>
  </si>
  <si>
    <t>Chia</t>
  </si>
  <si>
    <t>Samadova</t>
  </si>
  <si>
    <t>Lala</t>
  </si>
  <si>
    <t>Scharfenstein</t>
  </si>
  <si>
    <t>Zoe</t>
  </si>
  <si>
    <t>Schlüter</t>
  </si>
  <si>
    <t>Ruby</t>
  </si>
  <si>
    <t>Jonah</t>
  </si>
  <si>
    <t>Schuh</t>
  </si>
  <si>
    <t>Fabian</t>
  </si>
  <si>
    <t>Seidensticker</t>
  </si>
  <si>
    <t>Paula</t>
  </si>
  <si>
    <t>Seyffert</t>
  </si>
  <si>
    <t>Lisa Marie</t>
  </si>
  <si>
    <t>Unsaeng</t>
  </si>
  <si>
    <t>Neo</t>
  </si>
  <si>
    <t>Zimmermann</t>
  </si>
  <si>
    <t>Atzl</t>
  </si>
  <si>
    <t>Helena Maria</t>
  </si>
  <si>
    <t>Bleckwenn</t>
  </si>
  <si>
    <t>Mira</t>
  </si>
  <si>
    <t>Celik</t>
  </si>
  <si>
    <t>Azra</t>
  </si>
  <si>
    <t>Dehms</t>
  </si>
  <si>
    <t>Tobias</t>
  </si>
  <si>
    <t>Heinold</t>
  </si>
  <si>
    <t>Samuel</t>
  </si>
  <si>
    <t>Herzog</t>
  </si>
  <si>
    <t>Felix</t>
  </si>
  <si>
    <t>Id</t>
  </si>
  <si>
    <t>Razan</t>
  </si>
  <si>
    <t>Kasperowicz</t>
  </si>
  <si>
    <t>Gracja Viktoria</t>
  </si>
  <si>
    <t>Kilicaslan</t>
  </si>
  <si>
    <t>Baran</t>
  </si>
  <si>
    <t>Koch</t>
  </si>
  <si>
    <t>Kolfenbach</t>
  </si>
  <si>
    <t>Dorian</t>
  </si>
  <si>
    <t>Krudwig</t>
  </si>
  <si>
    <t>Lange</t>
  </si>
  <si>
    <t>Pascal</t>
  </si>
  <si>
    <t>Mende</t>
  </si>
  <si>
    <t>Sophia</t>
  </si>
  <si>
    <t>Moll</t>
  </si>
  <si>
    <t>Laurin Jonathan</t>
  </si>
  <si>
    <t>Musah</t>
  </si>
  <si>
    <t>Sherifa-Mandeeya</t>
  </si>
  <si>
    <t>Nietzard</t>
  </si>
  <si>
    <t>Malou</t>
  </si>
  <si>
    <t>Milan</t>
  </si>
  <si>
    <t>Reetz</t>
  </si>
  <si>
    <t>Luis</t>
  </si>
  <si>
    <t>Reinartz</t>
  </si>
  <si>
    <t>Simon</t>
  </si>
  <si>
    <t>Richarz</t>
  </si>
  <si>
    <t>Thomas</t>
  </si>
  <si>
    <t>Römer</t>
  </si>
  <si>
    <t>Rondot</t>
  </si>
  <si>
    <t>Lotta</t>
  </si>
  <si>
    <t>Ida-Marie</t>
  </si>
  <si>
    <t>Waldek</t>
  </si>
  <si>
    <t>Walker</t>
  </si>
  <si>
    <t>Marius</t>
  </si>
  <si>
    <t>9b</t>
  </si>
  <si>
    <t>Barth</t>
  </si>
  <si>
    <t>Bell</t>
  </si>
  <si>
    <t>Lennox</t>
  </si>
  <si>
    <t>Blank</t>
  </si>
  <si>
    <t>Janne</t>
  </si>
  <si>
    <t>Bock</t>
  </si>
  <si>
    <t>Justus</t>
  </si>
  <si>
    <t>Chaisree</t>
  </si>
  <si>
    <t>Kwanchnok</t>
  </si>
  <si>
    <t>Drehjou</t>
  </si>
  <si>
    <t>Mohammed</t>
  </si>
  <si>
    <t>Dünnes</t>
  </si>
  <si>
    <t>Marie Sophie</t>
  </si>
  <si>
    <t>Esch</t>
  </si>
  <si>
    <t>Christina</t>
  </si>
  <si>
    <t>David</t>
  </si>
  <si>
    <t>Gashi</t>
  </si>
  <si>
    <t>Loriana</t>
  </si>
  <si>
    <t>Hausen</t>
  </si>
  <si>
    <t>Hramov</t>
  </si>
  <si>
    <t>Darija</t>
  </si>
  <si>
    <t>Jütte</t>
  </si>
  <si>
    <t>Manuel</t>
  </si>
  <si>
    <t>Kasapovic</t>
  </si>
  <si>
    <t>Amir</t>
  </si>
  <si>
    <t>Khazdouzian</t>
  </si>
  <si>
    <t>Jona</t>
  </si>
  <si>
    <t>Peukert</t>
  </si>
  <si>
    <t>Charlotte</t>
  </si>
  <si>
    <t>Reicke</t>
  </si>
  <si>
    <t>Konrad</t>
  </si>
  <si>
    <t>Lana</t>
  </si>
  <si>
    <t>Sülzer</t>
  </si>
  <si>
    <t>Frieda</t>
  </si>
  <si>
    <t>Wierschem</t>
  </si>
  <si>
    <t>Josephine</t>
  </si>
  <si>
    <t>Winkler</t>
  </si>
  <si>
    <t>Zeiler</t>
  </si>
  <si>
    <t>Takumi</t>
  </si>
  <si>
    <t>Zilles</t>
  </si>
  <si>
    <t>9c</t>
  </si>
  <si>
    <t>Alabdullah</t>
  </si>
  <si>
    <t>Ibrahim</t>
  </si>
  <si>
    <t>Asteroth</t>
  </si>
  <si>
    <t>Emma</t>
  </si>
  <si>
    <t>Avdiu</t>
  </si>
  <si>
    <t>Ardit</t>
  </si>
  <si>
    <t>Baqeri</t>
  </si>
  <si>
    <t>Melika</t>
  </si>
  <si>
    <t>Boshtraj</t>
  </si>
  <si>
    <t>Rina</t>
  </si>
  <si>
    <t>Braun</t>
  </si>
  <si>
    <t>Nico</t>
  </si>
  <si>
    <t>Bunjaku</t>
  </si>
  <si>
    <t>Léon</t>
  </si>
  <si>
    <t>Kes</t>
  </si>
  <si>
    <t>Hakan</t>
  </si>
  <si>
    <t>Kopaci</t>
  </si>
  <si>
    <t>Arsela</t>
  </si>
  <si>
    <t>Olivia</t>
  </si>
  <si>
    <t>Laumann</t>
  </si>
  <si>
    <t>Mohammedali</t>
  </si>
  <si>
    <t>Yussuf</t>
  </si>
  <si>
    <t>Paschke</t>
  </si>
  <si>
    <t>Samia</t>
  </si>
  <si>
    <t>Samaan</t>
  </si>
  <si>
    <t>Mahrael</t>
  </si>
  <si>
    <t>Sartor</t>
  </si>
  <si>
    <t>Florian</t>
  </si>
  <si>
    <t>Schäfer</t>
  </si>
  <si>
    <t>Carlotta</t>
  </si>
  <si>
    <t>Mara</t>
  </si>
  <si>
    <t>Schütte</t>
  </si>
  <si>
    <t>Solak</t>
  </si>
  <si>
    <t>Kutan</t>
  </si>
  <si>
    <t>Strauß</t>
  </si>
  <si>
    <t>Raphaela</t>
  </si>
  <si>
    <t>Temna</t>
  </si>
  <si>
    <t>Oleksandra</t>
  </si>
  <si>
    <t>Tsanaktsidis</t>
  </si>
  <si>
    <t>Leandra</t>
  </si>
  <si>
    <t>Johann</t>
  </si>
  <si>
    <t>9d</t>
  </si>
  <si>
    <t>Antal</t>
  </si>
  <si>
    <t>Andreas</t>
  </si>
  <si>
    <t>Arend</t>
  </si>
  <si>
    <t>Merlin</t>
  </si>
  <si>
    <t>Ceylan</t>
  </si>
  <si>
    <t>Esmeray</t>
  </si>
  <si>
    <t>Enns</t>
  </si>
  <si>
    <t>Elin</t>
  </si>
  <si>
    <t>Ergin</t>
  </si>
  <si>
    <t>Lorin Su</t>
  </si>
  <si>
    <t>Hirzmann</t>
  </si>
  <si>
    <t>Hoß</t>
  </si>
  <si>
    <t>Niklas</t>
  </si>
  <si>
    <t>Kaminski</t>
  </si>
  <si>
    <t>Lisa</t>
  </si>
  <si>
    <t>Kamp</t>
  </si>
  <si>
    <t>Klingenberger</t>
  </si>
  <si>
    <t>Alexander</t>
  </si>
  <si>
    <t>Koll</t>
  </si>
  <si>
    <t>Kreutzmann</t>
  </si>
  <si>
    <t>Lenja</t>
  </si>
  <si>
    <t>Kuntze</t>
  </si>
  <si>
    <t>Moritz</t>
  </si>
  <si>
    <t>Labonde</t>
  </si>
  <si>
    <t>Anna</t>
  </si>
  <si>
    <t>Pochynok</t>
  </si>
  <si>
    <t>Vladyslav</t>
  </si>
  <si>
    <t>Schinabeck</t>
  </si>
  <si>
    <t>Leah</t>
  </si>
  <si>
    <t>Spitzer</t>
  </si>
  <si>
    <t>Magdalena Karin Marie</t>
  </si>
  <si>
    <t>Sydorzhewski</t>
  </si>
  <si>
    <t>Uliana</t>
  </si>
  <si>
    <t>von Almen</t>
  </si>
  <si>
    <t>Coco</t>
  </si>
  <si>
    <t>10a</t>
  </si>
  <si>
    <t>Becker</t>
  </si>
  <si>
    <t>Friedrich</t>
  </si>
  <si>
    <t>Blaschczok</t>
  </si>
  <si>
    <t>Böker</t>
  </si>
  <si>
    <t>Dogan</t>
  </si>
  <si>
    <t>Rozerin</t>
  </si>
  <si>
    <t>Emmerich</t>
  </si>
  <si>
    <t>Suri</t>
  </si>
  <si>
    <t>Fischer</t>
  </si>
  <si>
    <t>Jack</t>
  </si>
  <si>
    <t>Kirsch</t>
  </si>
  <si>
    <t>Klein</t>
  </si>
  <si>
    <t>Silvia</t>
  </si>
  <si>
    <t>Laut</t>
  </si>
  <si>
    <t>Lea</t>
  </si>
  <si>
    <t>Lindlohr</t>
  </si>
  <si>
    <t>Maya</t>
  </si>
  <si>
    <t>Prasser</t>
  </si>
  <si>
    <t>Pit</t>
  </si>
  <si>
    <t>Ruch</t>
  </si>
  <si>
    <t>Scarlett</t>
  </si>
  <si>
    <t>Paulina</t>
  </si>
  <si>
    <t>Naira</t>
  </si>
  <si>
    <t>Sopart</t>
  </si>
  <si>
    <t>Johanna</t>
  </si>
  <si>
    <t>Szumilas</t>
  </si>
  <si>
    <t>Wiktoria-Vanessa</t>
  </si>
  <si>
    <t>Vázquez y Vázquez</t>
  </si>
  <si>
    <t>Joya</t>
  </si>
  <si>
    <t>Warmth</t>
  </si>
  <si>
    <t>Weber</t>
  </si>
  <si>
    <t>Wiemer</t>
  </si>
  <si>
    <t>10b</t>
  </si>
  <si>
    <t>10c</t>
  </si>
  <si>
    <t>Alaktaa</t>
  </si>
  <si>
    <t>Avdyli</t>
  </si>
  <si>
    <t>Vesa</t>
  </si>
  <si>
    <t>Balaba</t>
  </si>
  <si>
    <t>Born</t>
  </si>
  <si>
    <t>Böyer</t>
  </si>
  <si>
    <t>Valentin</t>
  </si>
  <si>
    <t>Ditter</t>
  </si>
  <si>
    <t>Emma Carolina</t>
  </si>
  <si>
    <t>Effert</t>
  </si>
  <si>
    <t>Joshua</t>
  </si>
  <si>
    <t>Ince</t>
  </si>
  <si>
    <t>Kuznetsova</t>
  </si>
  <si>
    <t>Sofiia</t>
  </si>
  <si>
    <t>Lo Iacono</t>
  </si>
  <si>
    <t>Giuliana</t>
  </si>
  <si>
    <t>Mielke</t>
  </si>
  <si>
    <t>Muthers</t>
  </si>
  <si>
    <t>Özkaya</t>
  </si>
  <si>
    <t>Aylin</t>
  </si>
  <si>
    <t>Reichelt</t>
  </si>
  <si>
    <t>Rohloff</t>
  </si>
  <si>
    <t>Philine</t>
  </si>
  <si>
    <t>Saad</t>
  </si>
  <si>
    <t>Goudy</t>
  </si>
  <si>
    <t>Joris</t>
  </si>
  <si>
    <t>Fynn</t>
  </si>
  <si>
    <t>Seib</t>
  </si>
  <si>
    <t>Trudrung</t>
  </si>
  <si>
    <t>Philipp</t>
  </si>
  <si>
    <t>Henrik</t>
  </si>
  <si>
    <t>Abdul-Raouf</t>
  </si>
  <si>
    <t>Maryam</t>
  </si>
  <si>
    <t>Adolphi</t>
  </si>
  <si>
    <t>Bjarne Mathias</t>
  </si>
  <si>
    <t>Alkesaab</t>
  </si>
  <si>
    <t>Rehma</t>
  </si>
  <si>
    <t>Aßenmacher</t>
  </si>
  <si>
    <t>Magnus</t>
  </si>
  <si>
    <t>Aycicek</t>
  </si>
  <si>
    <t>Hansa Yagmur</t>
  </si>
  <si>
    <t>Bakhtin</t>
  </si>
  <si>
    <t>Mykola</t>
  </si>
  <si>
    <t>Beck</t>
  </si>
  <si>
    <t>Cilian Raúl</t>
  </si>
  <si>
    <t>Becker-Röttgen</t>
  </si>
  <si>
    <t>Merle</t>
  </si>
  <si>
    <t>Busley</t>
  </si>
  <si>
    <t>Seymen</t>
  </si>
  <si>
    <t>Chrenko</t>
  </si>
  <si>
    <t>Diederich</t>
  </si>
  <si>
    <t>Marie Sofie</t>
  </si>
  <si>
    <t>Dönhoff</t>
  </si>
  <si>
    <t>Fee</t>
  </si>
  <si>
    <t>Dorniak</t>
  </si>
  <si>
    <t>Marie Louisa</t>
  </si>
  <si>
    <t>Emrich</t>
  </si>
  <si>
    <t>Sarah Michelle</t>
  </si>
  <si>
    <t>Ertürk</t>
  </si>
  <si>
    <t>Ümit</t>
  </si>
  <si>
    <t>Philip</t>
  </si>
  <si>
    <t>Gerolstein</t>
  </si>
  <si>
    <t>Celina Sophie</t>
  </si>
  <si>
    <t>Guzday</t>
  </si>
  <si>
    <t>Kevin</t>
  </si>
  <si>
    <t>Leon</t>
  </si>
  <si>
    <t>Häfner</t>
  </si>
  <si>
    <t>Hagedorn</t>
  </si>
  <si>
    <t>Hartmann</t>
  </si>
  <si>
    <t>Hermann</t>
  </si>
  <si>
    <t>Leonie Caitriana</t>
  </si>
  <si>
    <t>Pauline Frederike</t>
  </si>
  <si>
    <t>Hildebrandt</t>
  </si>
  <si>
    <t>Hillmann</t>
  </si>
  <si>
    <t>Fabian Linus</t>
  </si>
  <si>
    <t>Homscheid</t>
  </si>
  <si>
    <t>Lars</t>
  </si>
  <si>
    <t>Ivanov</t>
  </si>
  <si>
    <t>Tymur</t>
  </si>
  <si>
    <t>Jesse</t>
  </si>
  <si>
    <t>Kandels</t>
  </si>
  <si>
    <t>Nils</t>
  </si>
  <si>
    <t>Kanoglu</t>
  </si>
  <si>
    <t>Karl Alan</t>
  </si>
  <si>
    <t>Oskar Szymon</t>
  </si>
  <si>
    <t>Keller</t>
  </si>
  <si>
    <t>Tim</t>
  </si>
  <si>
    <t>Khatibifard</t>
  </si>
  <si>
    <t>Mohammadmahdi</t>
  </si>
  <si>
    <t>Jolie Shanti</t>
  </si>
  <si>
    <t>Knoop</t>
  </si>
  <si>
    <t>Justin</t>
  </si>
  <si>
    <t>Kokums</t>
  </si>
  <si>
    <t>Kristers</t>
  </si>
  <si>
    <t>Timo Alfred</t>
  </si>
  <si>
    <t>Melina</t>
  </si>
  <si>
    <t>Kronfoth</t>
  </si>
  <si>
    <t>Kyra</t>
  </si>
  <si>
    <t>Kuruc</t>
  </si>
  <si>
    <t>Petra</t>
  </si>
  <si>
    <t>Lampke</t>
  </si>
  <si>
    <t>Lay</t>
  </si>
  <si>
    <t>Bennet Laurin</t>
  </si>
  <si>
    <t>Lokaj</t>
  </si>
  <si>
    <t>Artian</t>
  </si>
  <si>
    <t>Mancoglu</t>
  </si>
  <si>
    <t>Furkan</t>
  </si>
  <si>
    <t>Annalena</t>
  </si>
  <si>
    <t>Milinkovic</t>
  </si>
  <si>
    <t>Katarina</t>
  </si>
  <si>
    <t>Müller</t>
  </si>
  <si>
    <t>Leni</t>
  </si>
  <si>
    <t>Munsch</t>
  </si>
  <si>
    <t>Nele</t>
  </si>
  <si>
    <t>Napelyani</t>
  </si>
  <si>
    <t>Haniya</t>
  </si>
  <si>
    <t>Tatiana Marie</t>
  </si>
  <si>
    <t>Khanh Ly</t>
  </si>
  <si>
    <t>Quang-Binh</t>
  </si>
  <si>
    <t>Pöpping</t>
  </si>
  <si>
    <t>Profitlich</t>
  </si>
  <si>
    <t>Prytula</t>
  </si>
  <si>
    <t>Nazar</t>
  </si>
  <si>
    <t>Reitz</t>
  </si>
  <si>
    <t>Emilia Maria</t>
  </si>
  <si>
    <t>Rodriguez Escher</t>
  </si>
  <si>
    <t>Helena</t>
  </si>
  <si>
    <t>Runkel</t>
  </si>
  <si>
    <t>Yasmin</t>
  </si>
  <si>
    <t>Sahinbay</t>
  </si>
  <si>
    <t>Saltuk Emir</t>
  </si>
  <si>
    <t>Salimi</t>
  </si>
  <si>
    <t>Marwa</t>
  </si>
  <si>
    <t>Finja</t>
  </si>
  <si>
    <t>Carlotta Marit</t>
  </si>
  <si>
    <t>Sara Marie</t>
  </si>
  <si>
    <t>Schnurr</t>
  </si>
  <si>
    <t>Isabel</t>
  </si>
  <si>
    <t>Schopp</t>
  </si>
  <si>
    <t>Seidel</t>
  </si>
  <si>
    <t>Ngoc Vy</t>
  </si>
  <si>
    <t>Splitt</t>
  </si>
  <si>
    <t>Emilie</t>
  </si>
  <si>
    <t>Stahl</t>
  </si>
  <si>
    <t>Stehle</t>
  </si>
  <si>
    <t>Kimberly</t>
  </si>
  <si>
    <t>Stockhausen</t>
  </si>
  <si>
    <t>Eric</t>
  </si>
  <si>
    <t>Trude</t>
  </si>
  <si>
    <t>Tschauner</t>
  </si>
  <si>
    <t>Wagner</t>
  </si>
  <si>
    <t>Ann-Sophie</t>
  </si>
  <si>
    <t>Clarissa Maria</t>
  </si>
  <si>
    <t>Wangkunklang</t>
  </si>
  <si>
    <t>Warjuschin</t>
  </si>
  <si>
    <t>Evelyn</t>
  </si>
  <si>
    <t>Watts</t>
  </si>
  <si>
    <t>Erik Günther Hadrick</t>
  </si>
  <si>
    <t>Weißenfels</t>
  </si>
  <si>
    <t>Matthias</t>
  </si>
  <si>
    <t>Willscheid</t>
  </si>
  <si>
    <t>Miriam</t>
  </si>
  <si>
    <t>Yaldir</t>
  </si>
  <si>
    <t>Mert-Alim</t>
  </si>
  <si>
    <t>Mariko Sophia</t>
  </si>
  <si>
    <t>Zeqa</t>
  </si>
  <si>
    <t>Nderon</t>
  </si>
  <si>
    <t>Apel</t>
  </si>
  <si>
    <t>Dana</t>
  </si>
  <si>
    <t>Babaliga</t>
  </si>
  <si>
    <t>Cosmin</t>
  </si>
  <si>
    <t>Ceylin</t>
  </si>
  <si>
    <t>Can</t>
  </si>
  <si>
    <t>Cagatay</t>
  </si>
  <si>
    <t>Ciancia</t>
  </si>
  <si>
    <t>Valentina</t>
  </si>
  <si>
    <t>Debus</t>
  </si>
  <si>
    <t>Lion</t>
  </si>
  <si>
    <t>Dick</t>
  </si>
  <si>
    <t>Emmel</t>
  </si>
  <si>
    <t>Kian</t>
  </si>
  <si>
    <t>Laser</t>
  </si>
  <si>
    <t>Freiseis</t>
  </si>
  <si>
    <t>Frerk</t>
  </si>
  <si>
    <t>Fritzen</t>
  </si>
  <si>
    <t>Elian</t>
  </si>
  <si>
    <t>Grewe</t>
  </si>
  <si>
    <t>Caroline</t>
  </si>
  <si>
    <t>Gummersbach</t>
  </si>
  <si>
    <t>Habel</t>
  </si>
  <si>
    <t>Hafner</t>
  </si>
  <si>
    <t>Hasanaj</t>
  </si>
  <si>
    <t>Benet</t>
  </si>
  <si>
    <t>Hecken</t>
  </si>
  <si>
    <t>Mina</t>
  </si>
  <si>
    <t>Henze</t>
  </si>
  <si>
    <t>Marc</t>
  </si>
  <si>
    <t>Hofmann</t>
  </si>
  <si>
    <t>Sophie Pay</t>
  </si>
  <si>
    <t>Islamovic</t>
  </si>
  <si>
    <t>Adina</t>
  </si>
  <si>
    <t>Jirowetz</t>
  </si>
  <si>
    <t>Jodl</t>
  </si>
  <si>
    <t>Eva</t>
  </si>
  <si>
    <t>Franziska</t>
  </si>
  <si>
    <t>Klescher</t>
  </si>
  <si>
    <t>Joline</t>
  </si>
  <si>
    <t>Kossmann</t>
  </si>
  <si>
    <t>Philipp Lennart</t>
  </si>
  <si>
    <t>Kouraichi</t>
  </si>
  <si>
    <t>Zainab</t>
  </si>
  <si>
    <t>Koyuncu</t>
  </si>
  <si>
    <t>Zozan</t>
  </si>
  <si>
    <t>Kuqi</t>
  </si>
  <si>
    <t>Leonit</t>
  </si>
  <si>
    <t>Yuna Amélie</t>
  </si>
  <si>
    <t>Lecher</t>
  </si>
  <si>
    <t>Ruben Fynn</t>
  </si>
  <si>
    <t>Meixner</t>
  </si>
  <si>
    <t>Dominik Jonathan</t>
  </si>
  <si>
    <t>Meller</t>
  </si>
  <si>
    <t>Jens Christian</t>
  </si>
  <si>
    <t>Mendykowski</t>
  </si>
  <si>
    <t>Mateusz</t>
  </si>
  <si>
    <t>Anneke</t>
  </si>
  <si>
    <t>Mroz</t>
  </si>
  <si>
    <t>Aleksandra</t>
  </si>
  <si>
    <t>Muratovic</t>
  </si>
  <si>
    <t>Denis</t>
  </si>
  <si>
    <t>Nasution</t>
  </si>
  <si>
    <t>Maël-Damai Alexis August</t>
  </si>
  <si>
    <t>Quang-Sinh</t>
  </si>
  <si>
    <t>Ohly</t>
  </si>
  <si>
    <t>Padure</t>
  </si>
  <si>
    <t>Philippsen</t>
  </si>
  <si>
    <t>Max Constantin</t>
  </si>
  <si>
    <t>Paul Alexander</t>
  </si>
  <si>
    <t>Helene</t>
  </si>
  <si>
    <t>Reither</t>
  </si>
  <si>
    <t>Reuter</t>
  </si>
  <si>
    <t>Ayla</t>
  </si>
  <si>
    <t>Rys</t>
  </si>
  <si>
    <t>Lennart Jakob Johannes</t>
  </si>
  <si>
    <t>Scherer</t>
  </si>
  <si>
    <t>Zoé</t>
  </si>
  <si>
    <t>Schlochtermeier</t>
  </si>
  <si>
    <t>Lena Luisa</t>
  </si>
  <si>
    <t>Denise</t>
  </si>
  <si>
    <t>Schönenberg</t>
  </si>
  <si>
    <t>Schumacher</t>
  </si>
  <si>
    <t>Felix Jonathan</t>
  </si>
  <si>
    <t>Siljkovic</t>
  </si>
  <si>
    <t>Armin</t>
  </si>
  <si>
    <t>Simons</t>
  </si>
  <si>
    <t>Johanna Maria</t>
  </si>
  <si>
    <t>Atakan</t>
  </si>
  <si>
    <t>Solinski</t>
  </si>
  <si>
    <t>Bastian Timon</t>
  </si>
  <si>
    <t>Tillmann</t>
  </si>
  <si>
    <t>Traore</t>
  </si>
  <si>
    <t>von Bargen</t>
  </si>
  <si>
    <t>Aaron Sebastian</t>
  </si>
  <si>
    <t>Wahab</t>
  </si>
  <si>
    <t>Daniel</t>
  </si>
  <si>
    <t>Wegele</t>
  </si>
  <si>
    <t>Diana</t>
  </si>
  <si>
    <t>Weiler</t>
  </si>
  <si>
    <t>Wolf</t>
  </si>
  <si>
    <t>Nderim</t>
  </si>
  <si>
    <t>1.OG</t>
  </si>
  <si>
    <t>2.OG</t>
  </si>
  <si>
    <t>3.OG</t>
  </si>
  <si>
    <t>Raumname</t>
  </si>
  <si>
    <t>Geschoss</t>
  </si>
  <si>
    <t>Kapazität</t>
  </si>
  <si>
    <t>Email</t>
  </si>
  <si>
    <t>Gruppen</t>
  </si>
  <si>
    <t>v+</t>
  </si>
  <si>
    <t>n+</t>
  </si>
  <si>
    <t>V-Gruppen</t>
  </si>
  <si>
    <t>Nachname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</si>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</sst>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Fill="1"/>
  </cellXfs>
  <cellStyles count="2">
    <cellStyle name="Standard" xfId="0" builtinId="0"/>
    <cellStyle name="Standard 2" xfId="1" xr:uid="{869650F4-5334-4B0B-AD74-FAF4C0BD2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8787-B226-47CF-93D4-DDF98080BC65}">
  <dimension ref="A1:D35"/>
  <sheetViews>
    <sheetView workbookViewId="0">
      <selection activeCell="A35" sqref="A35"/>
    </sheetView>
  </sheetViews>
  <sheetFormatPr baseColWidth="10" defaultRowHeight="15" x14ac:dyDescent="0.2"/>
  <sheetData>
    <row r="1" spans="1:4" x14ac:dyDescent="0.2">
      <c r="A1" t="s">
        <v>680</v>
      </c>
      <c r="B1" t="s">
        <v>681</v>
      </c>
      <c r="C1" t="s">
        <v>682</v>
      </c>
    </row>
    <row r="2" spans="1:4" x14ac:dyDescent="0.2">
      <c r="A2">
        <v>114</v>
      </c>
      <c r="B2" t="s">
        <v>677</v>
      </c>
      <c r="C2">
        <v>25</v>
      </c>
      <c r="D2" t="str">
        <f>A2&amp;":"&amp;B2&amp;":"&amp;C2</f>
        <v>114:1.OG:25</v>
      </c>
    </row>
    <row r="3" spans="1:4" x14ac:dyDescent="0.2">
      <c r="A3">
        <v>115</v>
      </c>
      <c r="B3" t="s">
        <v>677</v>
      </c>
      <c r="C3">
        <v>25</v>
      </c>
      <c r="D3" t="str">
        <f t="shared" ref="D3:D31" si="0">A3&amp;":"&amp;B3&amp;":"&amp;C3</f>
        <v>115:1.OG:25</v>
      </c>
    </row>
    <row r="4" spans="1:4" x14ac:dyDescent="0.2">
      <c r="A4">
        <v>116</v>
      </c>
      <c r="B4" t="s">
        <v>677</v>
      </c>
      <c r="C4">
        <v>25</v>
      </c>
      <c r="D4" t="str">
        <f t="shared" si="0"/>
        <v>116:1.OG:25</v>
      </c>
    </row>
    <row r="5" spans="1:4" x14ac:dyDescent="0.2">
      <c r="A5">
        <v>118</v>
      </c>
      <c r="B5" t="s">
        <v>677</v>
      </c>
      <c r="C5">
        <v>25</v>
      </c>
      <c r="D5" t="str">
        <f t="shared" si="0"/>
        <v>118:1.OG:25</v>
      </c>
    </row>
    <row r="6" spans="1:4" x14ac:dyDescent="0.2">
      <c r="A6">
        <v>119</v>
      </c>
      <c r="B6" t="s">
        <v>677</v>
      </c>
      <c r="C6">
        <v>25</v>
      </c>
      <c r="D6" t="str">
        <f t="shared" si="0"/>
        <v>119:1.OG:25</v>
      </c>
    </row>
    <row r="7" spans="1:4" x14ac:dyDescent="0.2">
      <c r="A7">
        <v>120</v>
      </c>
      <c r="B7" t="s">
        <v>677</v>
      </c>
      <c r="C7">
        <v>25</v>
      </c>
      <c r="D7" t="str">
        <f t="shared" si="0"/>
        <v>120:1.OG:25</v>
      </c>
    </row>
    <row r="8" spans="1:4" x14ac:dyDescent="0.2">
      <c r="A8">
        <v>122</v>
      </c>
      <c r="B8" t="s">
        <v>677</v>
      </c>
      <c r="C8">
        <v>25</v>
      </c>
      <c r="D8" t="str">
        <f t="shared" si="0"/>
        <v>122:1.OG:25</v>
      </c>
    </row>
    <row r="9" spans="1:4" x14ac:dyDescent="0.2">
      <c r="A9">
        <v>123</v>
      </c>
      <c r="B9" t="s">
        <v>677</v>
      </c>
      <c r="C9">
        <v>25</v>
      </c>
      <c r="D9" t="str">
        <f t="shared" si="0"/>
        <v>123:1.OG:25</v>
      </c>
    </row>
    <row r="10" spans="1:4" x14ac:dyDescent="0.2">
      <c r="A10">
        <v>201</v>
      </c>
      <c r="B10" t="s">
        <v>678</v>
      </c>
      <c r="C10">
        <v>25</v>
      </c>
      <c r="D10" t="str">
        <f t="shared" si="0"/>
        <v>201:2.OG:25</v>
      </c>
    </row>
    <row r="11" spans="1:4" x14ac:dyDescent="0.2">
      <c r="A11">
        <v>210</v>
      </c>
      <c r="B11" t="s">
        <v>678</v>
      </c>
      <c r="C11">
        <v>25</v>
      </c>
      <c r="D11" t="str">
        <f t="shared" si="0"/>
        <v>210:2.OG:25</v>
      </c>
    </row>
    <row r="12" spans="1:4" x14ac:dyDescent="0.2">
      <c r="A12">
        <v>211</v>
      </c>
      <c r="B12" t="s">
        <v>678</v>
      </c>
      <c r="C12">
        <v>25</v>
      </c>
      <c r="D12" t="str">
        <f t="shared" si="0"/>
        <v>211:2.OG:25</v>
      </c>
    </row>
    <row r="13" spans="1:4" x14ac:dyDescent="0.2">
      <c r="A13">
        <v>212</v>
      </c>
      <c r="B13" t="s">
        <v>678</v>
      </c>
      <c r="C13">
        <v>25</v>
      </c>
      <c r="D13" t="str">
        <f t="shared" si="0"/>
        <v>212:2.OG:25</v>
      </c>
    </row>
    <row r="14" spans="1:4" x14ac:dyDescent="0.2">
      <c r="A14">
        <v>213</v>
      </c>
      <c r="B14" t="s">
        <v>678</v>
      </c>
      <c r="C14">
        <v>25</v>
      </c>
      <c r="D14" t="str">
        <f t="shared" si="0"/>
        <v>213:2.OG:25</v>
      </c>
    </row>
    <row r="15" spans="1:4" x14ac:dyDescent="0.2">
      <c r="A15">
        <v>213</v>
      </c>
      <c r="B15" t="s">
        <v>678</v>
      </c>
      <c r="C15">
        <v>25</v>
      </c>
      <c r="D15" t="str">
        <f t="shared" si="0"/>
        <v>213:2.OG:25</v>
      </c>
    </row>
    <row r="16" spans="1:4" x14ac:dyDescent="0.2">
      <c r="A16">
        <v>215</v>
      </c>
      <c r="B16" t="s">
        <v>678</v>
      </c>
      <c r="C16">
        <v>25</v>
      </c>
      <c r="D16" t="str">
        <f t="shared" si="0"/>
        <v>215:2.OG:25</v>
      </c>
    </row>
    <row r="17" spans="1:4" x14ac:dyDescent="0.2">
      <c r="A17">
        <v>216</v>
      </c>
      <c r="B17" t="s">
        <v>678</v>
      </c>
      <c r="C17">
        <v>25</v>
      </c>
      <c r="D17" t="str">
        <f t="shared" si="0"/>
        <v>216:2.OG:25</v>
      </c>
    </row>
    <row r="18" spans="1:4" x14ac:dyDescent="0.2">
      <c r="A18">
        <v>218</v>
      </c>
      <c r="B18" t="s">
        <v>678</v>
      </c>
      <c r="C18">
        <v>25</v>
      </c>
      <c r="D18" t="str">
        <f t="shared" si="0"/>
        <v>218:2.OG:25</v>
      </c>
    </row>
    <row r="19" spans="1:4" x14ac:dyDescent="0.2">
      <c r="A19">
        <v>219</v>
      </c>
      <c r="B19" t="s">
        <v>678</v>
      </c>
      <c r="C19">
        <v>25</v>
      </c>
      <c r="D19" t="str">
        <f t="shared" si="0"/>
        <v>219:2.OG:25</v>
      </c>
    </row>
    <row r="20" spans="1:4" x14ac:dyDescent="0.2">
      <c r="A20">
        <v>301</v>
      </c>
      <c r="B20" t="s">
        <v>679</v>
      </c>
      <c r="C20">
        <v>25</v>
      </c>
      <c r="D20" t="str">
        <f t="shared" si="0"/>
        <v>301:3.OG:25</v>
      </c>
    </row>
    <row r="21" spans="1:4" x14ac:dyDescent="0.2">
      <c r="A21">
        <v>302</v>
      </c>
      <c r="B21" t="s">
        <v>679</v>
      </c>
      <c r="C21">
        <v>25</v>
      </c>
      <c r="D21" t="str">
        <f t="shared" si="0"/>
        <v>302:3.OG:25</v>
      </c>
    </row>
    <row r="22" spans="1:4" x14ac:dyDescent="0.2">
      <c r="A22">
        <v>304</v>
      </c>
      <c r="B22" t="s">
        <v>679</v>
      </c>
      <c r="C22">
        <v>25</v>
      </c>
      <c r="D22" t="str">
        <f t="shared" si="0"/>
        <v>304:3.OG:25</v>
      </c>
    </row>
    <row r="23" spans="1:4" x14ac:dyDescent="0.2">
      <c r="A23">
        <v>311</v>
      </c>
      <c r="B23" t="s">
        <v>679</v>
      </c>
      <c r="C23">
        <v>25</v>
      </c>
      <c r="D23" t="str">
        <f t="shared" si="0"/>
        <v>311:3.OG:25</v>
      </c>
    </row>
    <row r="24" spans="1:4" x14ac:dyDescent="0.2">
      <c r="A24">
        <v>312</v>
      </c>
      <c r="B24" t="s">
        <v>679</v>
      </c>
      <c r="C24">
        <v>25</v>
      </c>
      <c r="D24" t="str">
        <f t="shared" si="0"/>
        <v>312:3.OG:25</v>
      </c>
    </row>
    <row r="25" spans="1:4" x14ac:dyDescent="0.2">
      <c r="A25">
        <v>313</v>
      </c>
      <c r="B25" t="s">
        <v>679</v>
      </c>
      <c r="C25">
        <v>25</v>
      </c>
      <c r="D25" t="str">
        <f t="shared" si="0"/>
        <v>313:3.OG:25</v>
      </c>
    </row>
    <row r="26" spans="1:4" x14ac:dyDescent="0.2">
      <c r="A26">
        <v>314</v>
      </c>
      <c r="B26" t="s">
        <v>679</v>
      </c>
      <c r="C26">
        <v>25</v>
      </c>
      <c r="D26" t="str">
        <f t="shared" si="0"/>
        <v>314:3.OG:25</v>
      </c>
    </row>
    <row r="27" spans="1:4" x14ac:dyDescent="0.2">
      <c r="A27">
        <v>315</v>
      </c>
      <c r="B27" t="s">
        <v>679</v>
      </c>
      <c r="C27">
        <v>25</v>
      </c>
      <c r="D27" t="str">
        <f t="shared" si="0"/>
        <v>315:3.OG:25</v>
      </c>
    </row>
    <row r="28" spans="1:4" x14ac:dyDescent="0.2">
      <c r="A28">
        <v>316</v>
      </c>
      <c r="B28" t="s">
        <v>679</v>
      </c>
      <c r="C28">
        <v>25</v>
      </c>
      <c r="D28" t="str">
        <f t="shared" si="0"/>
        <v>316:3.OG:25</v>
      </c>
    </row>
    <row r="29" spans="1:4" x14ac:dyDescent="0.2">
      <c r="A29">
        <v>317</v>
      </c>
      <c r="B29" t="s">
        <v>679</v>
      </c>
      <c r="C29">
        <v>25</v>
      </c>
      <c r="D29" t="str">
        <f t="shared" si="0"/>
        <v>317:3.OG:25</v>
      </c>
    </row>
    <row r="30" spans="1:4" x14ac:dyDescent="0.2">
      <c r="A30">
        <v>318</v>
      </c>
      <c r="B30" t="s">
        <v>679</v>
      </c>
      <c r="C30">
        <v>25</v>
      </c>
      <c r="D30" t="str">
        <f t="shared" si="0"/>
        <v>318:3.OG:25</v>
      </c>
    </row>
    <row r="31" spans="1:4" x14ac:dyDescent="0.2">
      <c r="A31">
        <v>319</v>
      </c>
      <c r="B31" t="s">
        <v>679</v>
      </c>
      <c r="C31">
        <v>25</v>
      </c>
      <c r="D31" t="str">
        <f t="shared" si="0"/>
        <v>319:3.OG:25</v>
      </c>
    </row>
    <row r="34" spans="1:1" x14ac:dyDescent="0.2">
      <c r="A34" t="s">
        <v>0</v>
      </c>
    </row>
    <row r="35" spans="1:1" x14ac:dyDescent="0.2">
      <c r="A35" t="str">
        <f>_xlfn.TEXTJOIN("|",TRUE,D2:D31)</f>
        <v>114:1.OG:25|115:1.OG:25|116:1.OG:25|118:1.OG:25|119:1.OG:25|120:1.OG:25|122:1.OG:25|123:1.OG:25|201:2.OG:25|210:2.OG:25|211:2.OG:25|212:2.OG:25|213:2.OG:25|213:2.OG:25|215:2.OG:25|216:2.OG:25|218:2.OG:25|219:2.OG:25|301:3.OG:25|302:3.OG:25|304:3.OG:25|311:3.OG:25|312:3.OG:25|313:3.OG:25|314:3.OG:25|315:3.OG:25|316:3.OG:25|317:3.OG:25|318:3.OG:25|319:3.OG:25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9CE-A517-4362-BDB9-92ABDFA3ABE5}">
  <dimension ref="A1:F417"/>
  <sheetViews>
    <sheetView workbookViewId="0">
      <selection activeCell="B28" sqref="B28"/>
    </sheetView>
  </sheetViews>
  <sheetFormatPr baseColWidth="10" defaultRowHeight="15" x14ac:dyDescent="0.2"/>
  <cols>
    <col min="1" max="1" width="18.6640625" bestFit="1" customWidth="1"/>
    <col min="2" max="2" width="20.83203125" bestFit="1" customWidth="1"/>
    <col min="3" max="4" width="20.83203125" customWidth="1"/>
    <col min="5" max="5" width="42" customWidth="1"/>
  </cols>
  <sheetData>
    <row r="1" spans="1:6" x14ac:dyDescent="0.2">
      <c r="A1" t="s">
        <v>57</v>
      </c>
      <c r="B1" t="s">
        <v>58</v>
      </c>
      <c r="C1" t="s">
        <v>685</v>
      </c>
      <c r="D1" t="s">
        <v>686</v>
      </c>
      <c r="E1" t="s">
        <v>683</v>
      </c>
      <c r="F1" t="s">
        <v>684</v>
      </c>
    </row>
    <row r="2" spans="1:6" x14ac:dyDescent="0.2">
      <c r="A2" s="1" t="s">
        <v>1</v>
      </c>
      <c r="B2" s="1" t="s">
        <v>2</v>
      </c>
      <c r="C2" s="1" t="str">
        <f>LOWER(SUBSTITUTE(SUBSTITUTE(SUBSTITUTE(SUBSTITUTE(SUBSTITUTE(SUBSTITUTE(SUBSTITUTE(SUBSTITUTE(SUBSTITUTE(SUBSTITUTE(SUBSTITUTE(B2," ","."),"-","."),"ä","ae"),"ö","oe"),"ü","ue"),"ß","ss"),"é","e"),"ú","u"),"á","a"),"Ł","L"),"ł","l"))</f>
        <v>leen</v>
      </c>
      <c r="D2" s="1" t="str">
        <f>LOWER(SUBSTITUTE(SUBSTITUTE(SUBSTITUTE(SUBSTITUTE(SUBSTITUTE(SUBSTITUTE(SUBSTITUTE(SUBSTITUTE(SUBSTITUTE(SUBSTITUTE(SUBSTITUTE(A2," ","."),"-","."),"ä","ae"),"ö","oe"),"ü","ue"),"ß","ss"),"é","e"),"ú","u"),"á","a"),"Ł","L"),"ł","l"))</f>
        <v>albaiad</v>
      </c>
      <c r="E2" s="1" t="str">
        <f>C2&amp;"."&amp;D2&amp;"@martinus-gymnasium.de"</f>
        <v>leen.albaiad@martinus-gymnasium.de</v>
      </c>
      <c r="F2" t="s">
        <v>59</v>
      </c>
    </row>
    <row r="3" spans="1:6" x14ac:dyDescent="0.2">
      <c r="A3" s="1" t="s">
        <v>3</v>
      </c>
      <c r="B3" s="1" t="s">
        <v>4</v>
      </c>
      <c r="C3" s="1" t="str">
        <f t="shared" ref="C3:C64" si="0">LOWER(SUBSTITUTE(SUBSTITUTE(SUBSTITUTE(SUBSTITUTE(SUBSTITUTE(SUBSTITUTE(SUBSTITUTE(SUBSTITUTE(SUBSTITUTE(SUBSTITUTE(SUBSTITUTE(B3," ","."),"-","."),"ä","ae"),"ö","oe"),"ü","ue"),"ß","ss"),"é","e"),"ú","u"),"á","a"),"Ł","L"),"ł","l"))</f>
        <v>murhf</v>
      </c>
      <c r="D3" s="1" t="str">
        <f t="shared" ref="D3:D64" si="1">LOWER(SUBSTITUTE(SUBSTITUTE(SUBSTITUTE(SUBSTITUTE(SUBSTITUTE(SUBSTITUTE(SUBSTITUTE(SUBSTITUTE(SUBSTITUTE(SUBSTITUTE(SUBSTITUTE(A3," ","."),"-","."),"ä","ae"),"ö","oe"),"ü","ue"),"ß","ss"),"é","e"),"ú","u"),"á","a"),"Ł","L"),"ł","l"))</f>
        <v>albatran</v>
      </c>
      <c r="E3" s="1" t="str">
        <f t="shared" ref="E3:E66" si="2">C3&amp;"."&amp;D3&amp;"@martinus-gymnasium.de"</f>
        <v>murhf.albatran@martinus-gymnasium.de</v>
      </c>
      <c r="F3" t="s">
        <v>59</v>
      </c>
    </row>
    <row r="4" spans="1:6" x14ac:dyDescent="0.2">
      <c r="A4" s="1" t="s">
        <v>5</v>
      </c>
      <c r="B4" s="1" t="s">
        <v>6</v>
      </c>
      <c r="C4" s="1" t="str">
        <f t="shared" si="0"/>
        <v>luka</v>
      </c>
      <c r="D4" s="1" t="str">
        <f t="shared" si="1"/>
        <v>belilovskiy</v>
      </c>
      <c r="E4" s="1" t="str">
        <f t="shared" si="2"/>
        <v>luka.belilovskiy@martinus-gymnasium.de</v>
      </c>
      <c r="F4" t="s">
        <v>59</v>
      </c>
    </row>
    <row r="5" spans="1:6" x14ac:dyDescent="0.2">
      <c r="A5" s="1" t="s">
        <v>7</v>
      </c>
      <c r="B5" s="1" t="s">
        <v>8</v>
      </c>
      <c r="C5" s="1" t="str">
        <f t="shared" si="0"/>
        <v>mona</v>
      </c>
      <c r="D5" s="1" t="str">
        <f t="shared" si="1"/>
        <v>birrenbach</v>
      </c>
      <c r="E5" s="1" t="str">
        <f t="shared" si="2"/>
        <v>mona.birrenbach@martinus-gymnasium.de</v>
      </c>
      <c r="F5" t="s">
        <v>59</v>
      </c>
    </row>
    <row r="6" spans="1:6" x14ac:dyDescent="0.2">
      <c r="A6" s="1" t="s">
        <v>9</v>
      </c>
      <c r="B6" s="1" t="s">
        <v>10</v>
      </c>
      <c r="C6" s="1" t="str">
        <f t="shared" si="0"/>
        <v>ben</v>
      </c>
      <c r="D6" s="1" t="str">
        <f t="shared" si="1"/>
        <v>bornheim</v>
      </c>
      <c r="E6" s="1" t="str">
        <f t="shared" si="2"/>
        <v>ben.bornheim@martinus-gymnasium.de</v>
      </c>
      <c r="F6" t="s">
        <v>59</v>
      </c>
    </row>
    <row r="7" spans="1:6" x14ac:dyDescent="0.2">
      <c r="A7" s="1" t="s">
        <v>11</v>
      </c>
      <c r="B7" s="1" t="s">
        <v>12</v>
      </c>
      <c r="C7" s="1" t="str">
        <f t="shared" si="0"/>
        <v>denys</v>
      </c>
      <c r="D7" s="1" t="str">
        <f t="shared" si="1"/>
        <v>borodavchuk</v>
      </c>
      <c r="E7" s="1" t="str">
        <f t="shared" si="2"/>
        <v>denys.borodavchuk@martinus-gymnasium.de</v>
      </c>
      <c r="F7" t="s">
        <v>59</v>
      </c>
    </row>
    <row r="8" spans="1:6" x14ac:dyDescent="0.2">
      <c r="A8" s="1" t="s">
        <v>13</v>
      </c>
      <c r="B8" s="1" t="s">
        <v>14</v>
      </c>
      <c r="C8" s="1" t="str">
        <f t="shared" si="0"/>
        <v>emir</v>
      </c>
      <c r="D8" s="1" t="str">
        <f t="shared" si="1"/>
        <v>caglar</v>
      </c>
      <c r="E8" s="1" t="str">
        <f t="shared" si="2"/>
        <v>emir.caglar@martinus-gymnasium.de</v>
      </c>
      <c r="F8" t="s">
        <v>59</v>
      </c>
    </row>
    <row r="9" spans="1:6" x14ac:dyDescent="0.2">
      <c r="A9" s="1" t="s">
        <v>15</v>
      </c>
      <c r="B9" s="1" t="s">
        <v>16</v>
      </c>
      <c r="C9" s="1" t="str">
        <f t="shared" si="0"/>
        <v>emily</v>
      </c>
      <c r="D9" s="1" t="str">
        <f t="shared" si="1"/>
        <v>carmona.rodriguez</v>
      </c>
      <c r="E9" s="1" t="str">
        <f t="shared" si="2"/>
        <v>emily.carmona.rodriguez@martinus-gymnasium.de</v>
      </c>
      <c r="F9" t="s">
        <v>59</v>
      </c>
    </row>
    <row r="10" spans="1:6" x14ac:dyDescent="0.2">
      <c r="A10" s="1" t="s">
        <v>17</v>
      </c>
      <c r="B10" s="1" t="s">
        <v>18</v>
      </c>
      <c r="C10" s="1" t="str">
        <f t="shared" si="0"/>
        <v>matthieu</v>
      </c>
      <c r="D10" s="1" t="str">
        <f t="shared" si="1"/>
        <v>cazals</v>
      </c>
      <c r="E10" s="1" t="str">
        <f t="shared" si="2"/>
        <v>matthieu.cazals@martinus-gymnasium.de</v>
      </c>
      <c r="F10" t="s">
        <v>59</v>
      </c>
    </row>
    <row r="11" spans="1:6" x14ac:dyDescent="0.2">
      <c r="A11" s="1" t="s">
        <v>19</v>
      </c>
      <c r="B11" s="1" t="s">
        <v>20</v>
      </c>
      <c r="C11" s="1" t="str">
        <f t="shared" si="0"/>
        <v>diego</v>
      </c>
      <c r="D11" s="1" t="str">
        <f t="shared" si="1"/>
        <v>effern</v>
      </c>
      <c r="E11" s="1" t="str">
        <f t="shared" si="2"/>
        <v>diego.effern@martinus-gymnasium.de</v>
      </c>
      <c r="F11" t="s">
        <v>59</v>
      </c>
    </row>
    <row r="12" spans="1:6" x14ac:dyDescent="0.2">
      <c r="A12" s="1" t="s">
        <v>21</v>
      </c>
      <c r="B12" s="1" t="s">
        <v>22</v>
      </c>
      <c r="C12" s="1" t="str">
        <f t="shared" si="0"/>
        <v>leonie</v>
      </c>
      <c r="D12" s="1" t="str">
        <f t="shared" si="1"/>
        <v>engels</v>
      </c>
      <c r="E12" s="1" t="str">
        <f t="shared" si="2"/>
        <v>leonie.engels@martinus-gymnasium.de</v>
      </c>
      <c r="F12" t="s">
        <v>59</v>
      </c>
    </row>
    <row r="13" spans="1:6" x14ac:dyDescent="0.2">
      <c r="A13" s="1" t="s">
        <v>23</v>
      </c>
      <c r="B13" s="1" t="s">
        <v>24</v>
      </c>
      <c r="C13" s="1" t="str">
        <f t="shared" si="0"/>
        <v>max.bao.nam</v>
      </c>
      <c r="D13" s="1" t="str">
        <f t="shared" si="1"/>
        <v>hartung</v>
      </c>
      <c r="E13" s="1" t="str">
        <f t="shared" si="2"/>
        <v>max.bao.nam.hartung@martinus-gymnasium.de</v>
      </c>
      <c r="F13" t="s">
        <v>59</v>
      </c>
    </row>
    <row r="14" spans="1:6" x14ac:dyDescent="0.2">
      <c r="A14" s="1" t="s">
        <v>25</v>
      </c>
      <c r="B14" s="1" t="s">
        <v>26</v>
      </c>
      <c r="C14" s="1" t="str">
        <f t="shared" si="0"/>
        <v>deliza</v>
      </c>
      <c r="D14" s="1" t="str">
        <f t="shared" si="1"/>
        <v>hoti</v>
      </c>
      <c r="E14" s="1" t="str">
        <f t="shared" si="2"/>
        <v>deliza.hoti@martinus-gymnasium.de</v>
      </c>
      <c r="F14" t="s">
        <v>59</v>
      </c>
    </row>
    <row r="15" spans="1:6" x14ac:dyDescent="0.2">
      <c r="A15" s="1" t="s">
        <v>27</v>
      </c>
      <c r="B15" s="1" t="s">
        <v>28</v>
      </c>
      <c r="C15" s="1" t="str">
        <f t="shared" si="0"/>
        <v>talia</v>
      </c>
      <c r="D15" s="1" t="str">
        <f t="shared" si="1"/>
        <v>kartal</v>
      </c>
      <c r="E15" s="1" t="str">
        <f t="shared" si="2"/>
        <v>talia.kartal@martinus-gymnasium.de</v>
      </c>
      <c r="F15" t="s">
        <v>59</v>
      </c>
    </row>
    <row r="16" spans="1:6" x14ac:dyDescent="0.2">
      <c r="A16" s="1" t="s">
        <v>29</v>
      </c>
      <c r="B16" s="1" t="s">
        <v>30</v>
      </c>
      <c r="C16" s="1" t="str">
        <f t="shared" si="0"/>
        <v>karla</v>
      </c>
      <c r="D16" s="1" t="str">
        <f t="shared" si="1"/>
        <v>korth</v>
      </c>
      <c r="E16" s="1" t="str">
        <f t="shared" si="2"/>
        <v>karla.korth@martinus-gymnasium.de</v>
      </c>
      <c r="F16" t="s">
        <v>59</v>
      </c>
    </row>
    <row r="17" spans="1:6" x14ac:dyDescent="0.2">
      <c r="A17" s="1" t="s">
        <v>31</v>
      </c>
      <c r="B17" s="1" t="s">
        <v>32</v>
      </c>
      <c r="C17" s="1" t="str">
        <f t="shared" si="0"/>
        <v>jana</v>
      </c>
      <c r="D17" s="1" t="str">
        <f t="shared" si="1"/>
        <v>koester</v>
      </c>
      <c r="E17" s="1" t="str">
        <f t="shared" si="2"/>
        <v>jana.koester@martinus-gymnasium.de</v>
      </c>
      <c r="F17" t="s">
        <v>59</v>
      </c>
    </row>
    <row r="18" spans="1:6" x14ac:dyDescent="0.2">
      <c r="A18" s="1" t="s">
        <v>33</v>
      </c>
      <c r="B18" s="1" t="s">
        <v>34</v>
      </c>
      <c r="C18" s="1" t="str">
        <f t="shared" si="0"/>
        <v>isabella</v>
      </c>
      <c r="D18" s="1" t="str">
        <f t="shared" si="1"/>
        <v>krause</v>
      </c>
      <c r="E18" s="1" t="str">
        <f t="shared" si="2"/>
        <v>isabella.krause@martinus-gymnasium.de</v>
      </c>
      <c r="F18" t="s">
        <v>59</v>
      </c>
    </row>
    <row r="19" spans="1:6" x14ac:dyDescent="0.2">
      <c r="A19" s="1" t="s">
        <v>35</v>
      </c>
      <c r="B19" s="1" t="s">
        <v>36</v>
      </c>
      <c r="C19" s="1" t="str">
        <f t="shared" si="0"/>
        <v>maximilian</v>
      </c>
      <c r="D19" s="1" t="str">
        <f t="shared" si="1"/>
        <v>krueger</v>
      </c>
      <c r="E19" s="1" t="str">
        <f t="shared" si="2"/>
        <v>maximilian.krueger@martinus-gymnasium.de</v>
      </c>
      <c r="F19" t="s">
        <v>59</v>
      </c>
    </row>
    <row r="20" spans="1:6" x14ac:dyDescent="0.2">
      <c r="A20" s="1" t="s">
        <v>37</v>
      </c>
      <c r="B20" s="1" t="s">
        <v>38</v>
      </c>
      <c r="C20" s="1" t="str">
        <f t="shared" si="0"/>
        <v>laurin</v>
      </c>
      <c r="D20" s="1" t="str">
        <f t="shared" si="1"/>
        <v>nowack</v>
      </c>
      <c r="E20" s="1" t="str">
        <f t="shared" si="2"/>
        <v>laurin.nowack@martinus-gymnasium.de</v>
      </c>
      <c r="F20" t="s">
        <v>59</v>
      </c>
    </row>
    <row r="21" spans="1:6" x14ac:dyDescent="0.2">
      <c r="A21" s="1" t="s">
        <v>39</v>
      </c>
      <c r="B21" s="1" t="s">
        <v>40</v>
      </c>
      <c r="C21" s="1" t="str">
        <f t="shared" si="0"/>
        <v>jule</v>
      </c>
      <c r="D21" s="1" t="str">
        <f t="shared" si="1"/>
        <v>ockenfels</v>
      </c>
      <c r="E21" s="1" t="str">
        <f t="shared" si="2"/>
        <v>jule.ockenfels@martinus-gymnasium.de</v>
      </c>
      <c r="F21" t="s">
        <v>59</v>
      </c>
    </row>
    <row r="22" spans="1:6" x14ac:dyDescent="0.2">
      <c r="A22" s="1" t="s">
        <v>41</v>
      </c>
      <c r="B22" s="1" t="s">
        <v>42</v>
      </c>
      <c r="C22" s="1" t="str">
        <f t="shared" si="0"/>
        <v>sibel</v>
      </c>
      <c r="D22" s="1" t="str">
        <f t="shared" si="1"/>
        <v>ruthenbeck</v>
      </c>
      <c r="E22" s="1" t="str">
        <f t="shared" si="2"/>
        <v>sibel.ruthenbeck@martinus-gymnasium.de</v>
      </c>
      <c r="F22" t="s">
        <v>59</v>
      </c>
    </row>
    <row r="23" spans="1:6" x14ac:dyDescent="0.2">
      <c r="A23" s="1" t="s">
        <v>43</v>
      </c>
      <c r="B23" s="1" t="s">
        <v>44</v>
      </c>
      <c r="C23" s="1" t="str">
        <f t="shared" si="0"/>
        <v>anna.maria</v>
      </c>
      <c r="D23" s="1" t="str">
        <f t="shared" si="1"/>
        <v>saal</v>
      </c>
      <c r="E23" s="1" t="str">
        <f t="shared" si="2"/>
        <v>anna.maria.saal@martinus-gymnasium.de</v>
      </c>
      <c r="F23" t="s">
        <v>59</v>
      </c>
    </row>
    <row r="24" spans="1:6" x14ac:dyDescent="0.2">
      <c r="A24" s="1" t="s">
        <v>45</v>
      </c>
      <c r="B24" s="1" t="s">
        <v>46</v>
      </c>
      <c r="C24" s="1" t="str">
        <f t="shared" si="0"/>
        <v>martha.louise</v>
      </c>
      <c r="D24" s="1" t="str">
        <f t="shared" si="1"/>
        <v>schmitz</v>
      </c>
      <c r="E24" s="1" t="str">
        <f t="shared" si="2"/>
        <v>martha.louise.schmitz@martinus-gymnasium.de</v>
      </c>
      <c r="F24" t="s">
        <v>59</v>
      </c>
    </row>
    <row r="25" spans="1:6" x14ac:dyDescent="0.2">
      <c r="A25" s="1" t="s">
        <v>47</v>
      </c>
      <c r="B25" s="1" t="s">
        <v>48</v>
      </c>
      <c r="C25" s="1" t="str">
        <f t="shared" si="0"/>
        <v>benedikt</v>
      </c>
      <c r="D25" s="1" t="str">
        <f t="shared" si="1"/>
        <v>schneider</v>
      </c>
      <c r="E25" s="1" t="str">
        <f t="shared" si="2"/>
        <v>benedikt.schneider@martinus-gymnasium.de</v>
      </c>
      <c r="F25" t="s">
        <v>59</v>
      </c>
    </row>
    <row r="26" spans="1:6" x14ac:dyDescent="0.2">
      <c r="A26" s="1" t="s">
        <v>49</v>
      </c>
      <c r="B26" s="1" t="s">
        <v>50</v>
      </c>
      <c r="C26" s="1" t="str">
        <f t="shared" si="0"/>
        <v>riya</v>
      </c>
      <c r="D26" s="1" t="str">
        <f t="shared" si="1"/>
        <v>sharma</v>
      </c>
      <c r="E26" s="1" t="str">
        <f t="shared" si="2"/>
        <v>riya.sharma@martinus-gymnasium.de</v>
      </c>
      <c r="F26" t="s">
        <v>59</v>
      </c>
    </row>
    <row r="27" spans="1:6" x14ac:dyDescent="0.2">
      <c r="A27" s="1" t="s">
        <v>51</v>
      </c>
      <c r="B27" s="1" t="s">
        <v>52</v>
      </c>
      <c r="C27" s="1" t="str">
        <f t="shared" si="0"/>
        <v>elias</v>
      </c>
      <c r="D27" s="1" t="str">
        <f t="shared" si="1"/>
        <v>siebertz</v>
      </c>
      <c r="E27" s="1" t="str">
        <f t="shared" si="2"/>
        <v>elias.siebertz@martinus-gymnasium.de</v>
      </c>
      <c r="F27" t="s">
        <v>59</v>
      </c>
    </row>
    <row r="28" spans="1:6" x14ac:dyDescent="0.2">
      <c r="A28" s="1" t="s">
        <v>53</v>
      </c>
      <c r="B28" s="1" t="s">
        <v>54</v>
      </c>
      <c r="C28" s="1" t="str">
        <f t="shared" si="0"/>
        <v>neele</v>
      </c>
      <c r="D28" s="1" t="str">
        <f t="shared" si="1"/>
        <v>streeck</v>
      </c>
      <c r="E28" s="1" t="str">
        <f t="shared" si="2"/>
        <v>neele.streeck@martinus-gymnasium.de</v>
      </c>
      <c r="F28" t="s">
        <v>59</v>
      </c>
    </row>
    <row r="29" spans="1:6" x14ac:dyDescent="0.2">
      <c r="A29" s="1" t="s">
        <v>55</v>
      </c>
      <c r="B29" s="1" t="s">
        <v>56</v>
      </c>
      <c r="C29" s="1" t="str">
        <f t="shared" si="0"/>
        <v>daria</v>
      </c>
      <c r="D29" s="1" t="str">
        <f t="shared" si="1"/>
        <v>zalesskaia</v>
      </c>
      <c r="E29" s="1" t="str">
        <f t="shared" si="2"/>
        <v>daria.zalesskaia@martinus-gymnasium.de</v>
      </c>
      <c r="F29" t="s">
        <v>59</v>
      </c>
    </row>
    <row r="30" spans="1:6" x14ac:dyDescent="0.2">
      <c r="A30" s="1" t="s">
        <v>60</v>
      </c>
      <c r="B30" s="1" t="s">
        <v>61</v>
      </c>
      <c r="C30" s="1" t="str">
        <f t="shared" si="0"/>
        <v>julian</v>
      </c>
      <c r="D30" s="1" t="str">
        <f t="shared" si="1"/>
        <v>alfter</v>
      </c>
      <c r="E30" s="1" t="str">
        <f t="shared" si="2"/>
        <v>julian.alfter@martinus-gymnasium.de</v>
      </c>
      <c r="F30" t="s">
        <v>114</v>
      </c>
    </row>
    <row r="31" spans="1:6" x14ac:dyDescent="0.2">
      <c r="A31" s="1" t="s">
        <v>62</v>
      </c>
      <c r="B31" s="1" t="s">
        <v>63</v>
      </c>
      <c r="C31" s="1" t="str">
        <f t="shared" si="0"/>
        <v>hala</v>
      </c>
      <c r="D31" s="1" t="str">
        <f t="shared" si="1"/>
        <v>al.sharaa</v>
      </c>
      <c r="E31" s="1" t="str">
        <f t="shared" si="2"/>
        <v>hala.al.sharaa@martinus-gymnasium.de</v>
      </c>
      <c r="F31" t="s">
        <v>114</v>
      </c>
    </row>
    <row r="32" spans="1:6" x14ac:dyDescent="0.2">
      <c r="A32" s="1" t="s">
        <v>64</v>
      </c>
      <c r="B32" s="1" t="s">
        <v>65</v>
      </c>
      <c r="C32" s="1" t="str">
        <f t="shared" si="0"/>
        <v>emil</v>
      </c>
      <c r="D32" s="1" t="str">
        <f t="shared" si="1"/>
        <v>beyer</v>
      </c>
      <c r="E32" s="1" t="str">
        <f t="shared" si="2"/>
        <v>emil.beyer@martinus-gymnasium.de</v>
      </c>
      <c r="F32" t="s">
        <v>114</v>
      </c>
    </row>
    <row r="33" spans="1:6" x14ac:dyDescent="0.2">
      <c r="A33" s="1" t="s">
        <v>66</v>
      </c>
      <c r="B33" s="1" t="s">
        <v>67</v>
      </c>
      <c r="C33" s="1" t="str">
        <f t="shared" si="0"/>
        <v>jonas</v>
      </c>
      <c r="D33" s="1" t="str">
        <f t="shared" si="1"/>
        <v>chahid</v>
      </c>
      <c r="E33" s="1" t="str">
        <f t="shared" si="2"/>
        <v>jonas.chahid@martinus-gymnasium.de</v>
      </c>
      <c r="F33" t="s">
        <v>114</v>
      </c>
    </row>
    <row r="34" spans="1:6" x14ac:dyDescent="0.2">
      <c r="A34" s="1" t="s">
        <v>68</v>
      </c>
      <c r="B34" s="1" t="s">
        <v>69</v>
      </c>
      <c r="C34" s="1" t="str">
        <f t="shared" si="0"/>
        <v>thanh.long</v>
      </c>
      <c r="D34" s="1" t="str">
        <f t="shared" si="1"/>
        <v>do</v>
      </c>
      <c r="E34" s="1" t="str">
        <f t="shared" si="2"/>
        <v>thanh.long.do@martinus-gymnasium.de</v>
      </c>
      <c r="F34" t="s">
        <v>114</v>
      </c>
    </row>
    <row r="35" spans="1:6" x14ac:dyDescent="0.2">
      <c r="A35" s="1" t="s">
        <v>70</v>
      </c>
      <c r="B35" s="1" t="s">
        <v>71</v>
      </c>
      <c r="C35" s="1" t="str">
        <f t="shared" si="0"/>
        <v>darius</v>
      </c>
      <c r="D35" s="1" t="str">
        <f t="shared" si="1"/>
        <v>dreglea</v>
      </c>
      <c r="E35" s="1" t="str">
        <f t="shared" si="2"/>
        <v>darius.dreglea@martinus-gymnasium.de</v>
      </c>
      <c r="F35" t="s">
        <v>114</v>
      </c>
    </row>
    <row r="36" spans="1:6" x14ac:dyDescent="0.2">
      <c r="A36" s="1" t="s">
        <v>72</v>
      </c>
      <c r="B36" s="1" t="s">
        <v>73</v>
      </c>
      <c r="C36" s="1" t="str">
        <f t="shared" si="0"/>
        <v>lilly</v>
      </c>
      <c r="D36" s="1" t="str">
        <f t="shared" si="1"/>
        <v>duijvekam</v>
      </c>
      <c r="E36" s="1" t="str">
        <f t="shared" si="2"/>
        <v>lilly.duijvekam@martinus-gymnasium.de</v>
      </c>
      <c r="F36" t="s">
        <v>114</v>
      </c>
    </row>
    <row r="37" spans="1:6" x14ac:dyDescent="0.2">
      <c r="A37" s="1" t="s">
        <v>74</v>
      </c>
      <c r="B37" s="1" t="s">
        <v>75</v>
      </c>
      <c r="C37" s="1" t="str">
        <f t="shared" si="0"/>
        <v>julia</v>
      </c>
      <c r="D37" s="1" t="str">
        <f t="shared" si="1"/>
        <v>firlus</v>
      </c>
      <c r="E37" s="1" t="str">
        <f t="shared" si="2"/>
        <v>julia.firlus@martinus-gymnasium.de</v>
      </c>
      <c r="F37" t="s">
        <v>114</v>
      </c>
    </row>
    <row r="38" spans="1:6" x14ac:dyDescent="0.2">
      <c r="A38" s="1" t="s">
        <v>76</v>
      </c>
      <c r="B38" s="1" t="s">
        <v>52</v>
      </c>
      <c r="C38" s="1" t="str">
        <f t="shared" si="0"/>
        <v>elias</v>
      </c>
      <c r="D38" s="1" t="str">
        <f t="shared" si="1"/>
        <v>froembgen</v>
      </c>
      <c r="E38" s="1" t="str">
        <f t="shared" si="2"/>
        <v>elias.froembgen@martinus-gymnasium.de</v>
      </c>
      <c r="F38" t="s">
        <v>114</v>
      </c>
    </row>
    <row r="39" spans="1:6" x14ac:dyDescent="0.2">
      <c r="A39" s="1" t="s">
        <v>77</v>
      </c>
      <c r="B39" s="1" t="s">
        <v>78</v>
      </c>
      <c r="C39" s="1" t="str">
        <f t="shared" si="0"/>
        <v>lia</v>
      </c>
      <c r="D39" s="1" t="str">
        <f t="shared" si="1"/>
        <v>gambino.kleemann</v>
      </c>
      <c r="E39" s="1" t="str">
        <f t="shared" si="2"/>
        <v>lia.gambino.kleemann@martinus-gymnasium.de</v>
      </c>
      <c r="F39" t="s">
        <v>114</v>
      </c>
    </row>
    <row r="40" spans="1:6" x14ac:dyDescent="0.2">
      <c r="A40" s="1" t="s">
        <v>79</v>
      </c>
      <c r="B40" s="1" t="s">
        <v>80</v>
      </c>
      <c r="C40" s="1" t="str">
        <f t="shared" si="0"/>
        <v>laura</v>
      </c>
      <c r="D40" s="1" t="str">
        <f t="shared" si="1"/>
        <v>hanft</v>
      </c>
      <c r="E40" s="1" t="str">
        <f t="shared" si="2"/>
        <v>laura.hanft@martinus-gymnasium.de</v>
      </c>
      <c r="F40" t="s">
        <v>114</v>
      </c>
    </row>
    <row r="41" spans="1:6" x14ac:dyDescent="0.2">
      <c r="A41" s="1" t="s">
        <v>81</v>
      </c>
      <c r="B41" s="1" t="s">
        <v>82</v>
      </c>
      <c r="C41" s="1" t="str">
        <f t="shared" si="0"/>
        <v>anton</v>
      </c>
      <c r="D41" s="1" t="str">
        <f t="shared" si="1"/>
        <v>koenigs</v>
      </c>
      <c r="E41" s="1" t="str">
        <f t="shared" si="2"/>
        <v>anton.koenigs@martinus-gymnasium.de</v>
      </c>
      <c r="F41" t="s">
        <v>114</v>
      </c>
    </row>
    <row r="42" spans="1:6" x14ac:dyDescent="0.2">
      <c r="A42" s="1" t="s">
        <v>83</v>
      </c>
      <c r="B42" s="1" t="s">
        <v>84</v>
      </c>
      <c r="C42" s="1" t="str">
        <f t="shared" si="0"/>
        <v>jowita.aleksandra</v>
      </c>
      <c r="D42" s="1" t="str">
        <f t="shared" si="1"/>
        <v>kowalik</v>
      </c>
      <c r="E42" s="1" t="str">
        <f t="shared" si="2"/>
        <v>jowita.aleksandra.kowalik@martinus-gymnasium.de</v>
      </c>
      <c r="F42" t="s">
        <v>114</v>
      </c>
    </row>
    <row r="43" spans="1:6" x14ac:dyDescent="0.2">
      <c r="A43" s="1" t="s">
        <v>85</v>
      </c>
      <c r="B43" s="1" t="s">
        <v>86</v>
      </c>
      <c r="C43" s="1" t="str">
        <f t="shared" si="0"/>
        <v>layan</v>
      </c>
      <c r="D43" s="1" t="str">
        <f t="shared" si="1"/>
        <v>nawlo</v>
      </c>
      <c r="E43" s="1" t="str">
        <f t="shared" si="2"/>
        <v>layan.nawlo@martinus-gymnasium.de</v>
      </c>
      <c r="F43" t="s">
        <v>114</v>
      </c>
    </row>
    <row r="44" spans="1:6" x14ac:dyDescent="0.2">
      <c r="A44" s="1" t="s">
        <v>87</v>
      </c>
      <c r="B44" s="1" t="s">
        <v>88</v>
      </c>
      <c r="C44" s="1" t="str">
        <f t="shared" si="0"/>
        <v>jean</v>
      </c>
      <c r="D44" s="1" t="str">
        <f t="shared" si="1"/>
        <v>neve</v>
      </c>
      <c r="E44" s="1" t="str">
        <f t="shared" si="2"/>
        <v>jean.neve@martinus-gymnasium.de</v>
      </c>
      <c r="F44" t="s">
        <v>114</v>
      </c>
    </row>
    <row r="45" spans="1:6" x14ac:dyDescent="0.2">
      <c r="A45" s="1" t="s">
        <v>39</v>
      </c>
      <c r="B45" s="1" t="s">
        <v>89</v>
      </c>
      <c r="C45" s="1" t="str">
        <f t="shared" si="0"/>
        <v>lucas</v>
      </c>
      <c r="D45" s="1" t="str">
        <f t="shared" si="1"/>
        <v>ockenfels</v>
      </c>
      <c r="E45" s="1" t="str">
        <f t="shared" si="2"/>
        <v>lucas.ockenfels@martinus-gymnasium.de</v>
      </c>
      <c r="F45" t="s">
        <v>114</v>
      </c>
    </row>
    <row r="46" spans="1:6" x14ac:dyDescent="0.2">
      <c r="A46" s="1" t="s">
        <v>90</v>
      </c>
      <c r="B46" s="1" t="s">
        <v>91</v>
      </c>
      <c r="C46" s="1" t="str">
        <f t="shared" si="0"/>
        <v>nikolas</v>
      </c>
      <c r="D46" s="1" t="str">
        <f t="shared" si="1"/>
        <v>probst</v>
      </c>
      <c r="E46" s="1" t="str">
        <f t="shared" si="2"/>
        <v>nikolas.probst@martinus-gymnasium.de</v>
      </c>
      <c r="F46" t="s">
        <v>114</v>
      </c>
    </row>
    <row r="47" spans="1:6" x14ac:dyDescent="0.2">
      <c r="A47" s="1" t="s">
        <v>92</v>
      </c>
      <c r="B47" s="1" t="s">
        <v>93</v>
      </c>
      <c r="C47" s="1" t="str">
        <f t="shared" si="0"/>
        <v>sophie</v>
      </c>
      <c r="D47" s="1" t="str">
        <f t="shared" si="1"/>
        <v>reufels</v>
      </c>
      <c r="E47" s="1" t="str">
        <f t="shared" si="2"/>
        <v>sophie.reufels@martinus-gymnasium.de</v>
      </c>
      <c r="F47" t="s">
        <v>114</v>
      </c>
    </row>
    <row r="48" spans="1:6" x14ac:dyDescent="0.2">
      <c r="A48" s="1" t="s">
        <v>94</v>
      </c>
      <c r="B48" s="1" t="s">
        <v>95</v>
      </c>
      <c r="C48" s="1" t="str">
        <f t="shared" si="0"/>
        <v>linah</v>
      </c>
      <c r="D48" s="1" t="str">
        <f t="shared" si="1"/>
        <v>riadi</v>
      </c>
      <c r="E48" s="1" t="str">
        <f t="shared" si="2"/>
        <v>linah.riadi@martinus-gymnasium.de</v>
      </c>
      <c r="F48" t="s">
        <v>114</v>
      </c>
    </row>
    <row r="49" spans="1:6" x14ac:dyDescent="0.2">
      <c r="A49" s="1" t="s">
        <v>96</v>
      </c>
      <c r="B49" s="1" t="s">
        <v>97</v>
      </c>
      <c r="C49" s="1" t="str">
        <f t="shared" si="0"/>
        <v>sara</v>
      </c>
      <c r="D49" s="1" t="str">
        <f t="shared" si="1"/>
        <v>ruppert</v>
      </c>
      <c r="E49" s="1" t="str">
        <f t="shared" si="2"/>
        <v>sara.ruppert@martinus-gymnasium.de</v>
      </c>
      <c r="F49" t="s">
        <v>114</v>
      </c>
    </row>
    <row r="50" spans="1:6" x14ac:dyDescent="0.2">
      <c r="A50" s="1" t="s">
        <v>98</v>
      </c>
      <c r="B50" s="1" t="s">
        <v>99</v>
      </c>
      <c r="C50" s="1" t="str">
        <f t="shared" si="0"/>
        <v>mila</v>
      </c>
      <c r="D50" s="1" t="str">
        <f t="shared" si="1"/>
        <v>schwarz</v>
      </c>
      <c r="E50" s="1" t="str">
        <f t="shared" si="2"/>
        <v>mila.schwarz@martinus-gymnasium.de</v>
      </c>
      <c r="F50" t="s">
        <v>114</v>
      </c>
    </row>
    <row r="51" spans="1:6" x14ac:dyDescent="0.2">
      <c r="A51" s="1" t="s">
        <v>51</v>
      </c>
      <c r="B51" s="1" t="s">
        <v>100</v>
      </c>
      <c r="C51" s="1" t="str">
        <f t="shared" si="0"/>
        <v>enno</v>
      </c>
      <c r="D51" s="1" t="str">
        <f t="shared" si="1"/>
        <v>siebertz</v>
      </c>
      <c r="E51" s="1" t="str">
        <f t="shared" si="2"/>
        <v>enno.siebertz@martinus-gymnasium.de</v>
      </c>
      <c r="F51" t="s">
        <v>114</v>
      </c>
    </row>
    <row r="52" spans="1:6" x14ac:dyDescent="0.2">
      <c r="A52" s="1" t="s">
        <v>101</v>
      </c>
      <c r="B52" s="1" t="s">
        <v>102</v>
      </c>
      <c r="C52" s="1" t="str">
        <f t="shared" si="0"/>
        <v>vincent</v>
      </c>
      <c r="D52" s="1" t="str">
        <f t="shared" si="1"/>
        <v>stemann</v>
      </c>
      <c r="E52" s="1" t="str">
        <f t="shared" si="2"/>
        <v>vincent.stemann@martinus-gymnasium.de</v>
      </c>
      <c r="F52" t="s">
        <v>114</v>
      </c>
    </row>
    <row r="53" spans="1:6" x14ac:dyDescent="0.2">
      <c r="A53" s="1" t="s">
        <v>103</v>
      </c>
      <c r="B53" s="1" t="s">
        <v>104</v>
      </c>
      <c r="C53" s="1" t="str">
        <f t="shared" si="0"/>
        <v>johannes.konrad</v>
      </c>
      <c r="D53" s="1" t="str">
        <f t="shared" si="1"/>
        <v>suntrup</v>
      </c>
      <c r="E53" s="1" t="str">
        <f t="shared" si="2"/>
        <v>johannes.konrad.suntrup@martinus-gymnasium.de</v>
      </c>
      <c r="F53" t="s">
        <v>114</v>
      </c>
    </row>
    <row r="54" spans="1:6" x14ac:dyDescent="0.2">
      <c r="A54" s="1" t="s">
        <v>105</v>
      </c>
      <c r="B54" s="1" t="s">
        <v>106</v>
      </c>
      <c r="C54" s="1" t="str">
        <f t="shared" si="0"/>
        <v>katharina</v>
      </c>
      <c r="D54" s="1" t="str">
        <f t="shared" si="1"/>
        <v>walter</v>
      </c>
      <c r="E54" s="1" t="str">
        <f t="shared" si="2"/>
        <v>katharina.walter@martinus-gymnasium.de</v>
      </c>
      <c r="F54" t="s">
        <v>114</v>
      </c>
    </row>
    <row r="55" spans="1:6" x14ac:dyDescent="0.2">
      <c r="A55" s="1" t="s">
        <v>107</v>
      </c>
      <c r="B55" s="1" t="s">
        <v>108</v>
      </c>
      <c r="C55" s="1" t="str">
        <f t="shared" si="0"/>
        <v>lina</v>
      </c>
      <c r="D55" s="1" t="str">
        <f t="shared" si="1"/>
        <v>wotzke</v>
      </c>
      <c r="E55" s="1" t="str">
        <f t="shared" si="2"/>
        <v>lina.wotzke@martinus-gymnasium.de</v>
      </c>
      <c r="F55" t="s">
        <v>114</v>
      </c>
    </row>
    <row r="56" spans="1:6" x14ac:dyDescent="0.2">
      <c r="A56" s="1" t="s">
        <v>109</v>
      </c>
      <c r="B56" s="1" t="s">
        <v>110</v>
      </c>
      <c r="C56" s="1" t="str">
        <f t="shared" si="0"/>
        <v>sarah</v>
      </c>
      <c r="D56" s="1" t="str">
        <f t="shared" si="1"/>
        <v>zahn</v>
      </c>
      <c r="E56" s="1" t="str">
        <f t="shared" si="2"/>
        <v>sarah.zahn@martinus-gymnasium.de</v>
      </c>
      <c r="F56" t="s">
        <v>114</v>
      </c>
    </row>
    <row r="57" spans="1:6" x14ac:dyDescent="0.2">
      <c r="A57" s="1" t="s">
        <v>111</v>
      </c>
      <c r="B57" s="1" t="s">
        <v>52</v>
      </c>
      <c r="C57" s="1" t="str">
        <f t="shared" si="0"/>
        <v>elias</v>
      </c>
      <c r="D57" s="1" t="str">
        <f t="shared" si="1"/>
        <v>zeichner</v>
      </c>
      <c r="E57" s="1" t="str">
        <f t="shared" si="2"/>
        <v>elias.zeichner@martinus-gymnasium.de</v>
      </c>
      <c r="F57" t="s">
        <v>114</v>
      </c>
    </row>
    <row r="58" spans="1:6" x14ac:dyDescent="0.2">
      <c r="A58" s="1" t="s">
        <v>112</v>
      </c>
      <c r="B58" s="1" t="s">
        <v>113</v>
      </c>
      <c r="C58" s="1" t="str">
        <f t="shared" si="0"/>
        <v>jan.henryk</v>
      </c>
      <c r="D58" s="1" t="str">
        <f t="shared" si="1"/>
        <v>lukoszek</v>
      </c>
      <c r="E58" s="1" t="str">
        <f t="shared" si="2"/>
        <v>jan.henryk.lukoszek@martinus-gymnasium.de</v>
      </c>
      <c r="F58" t="s">
        <v>114</v>
      </c>
    </row>
    <row r="59" spans="1:6" x14ac:dyDescent="0.2">
      <c r="A59" s="1" t="s">
        <v>115</v>
      </c>
      <c r="B59" s="1" t="s">
        <v>116</v>
      </c>
      <c r="C59" s="1" t="str">
        <f t="shared" si="0"/>
        <v>mike</v>
      </c>
      <c r="D59" s="1" t="str">
        <f t="shared" si="1"/>
        <v>antweiler</v>
      </c>
      <c r="E59" s="1" t="str">
        <f t="shared" si="2"/>
        <v>mike.antweiler@martinus-gymnasium.de</v>
      </c>
      <c r="F59" t="s">
        <v>164</v>
      </c>
    </row>
    <row r="60" spans="1:6" x14ac:dyDescent="0.2">
      <c r="A60" s="1" t="s">
        <v>117</v>
      </c>
      <c r="B60" s="1" t="s">
        <v>118</v>
      </c>
      <c r="C60" s="1" t="str">
        <f t="shared" si="0"/>
        <v>celina</v>
      </c>
      <c r="D60" s="1" t="str">
        <f t="shared" si="1"/>
        <v>baernwald</v>
      </c>
      <c r="E60" s="1" t="str">
        <f t="shared" si="2"/>
        <v>celina.baernwald@martinus-gymnasium.de</v>
      </c>
      <c r="F60" t="s">
        <v>164</v>
      </c>
    </row>
    <row r="61" spans="1:6" x14ac:dyDescent="0.2">
      <c r="A61" s="1" t="s">
        <v>119</v>
      </c>
      <c r="B61" s="1" t="s">
        <v>120</v>
      </c>
      <c r="C61" s="1" t="str">
        <f t="shared" si="0"/>
        <v>marlene</v>
      </c>
      <c r="D61" s="1" t="str">
        <f t="shared" si="1"/>
        <v>buhr</v>
      </c>
      <c r="E61" s="1" t="str">
        <f t="shared" si="2"/>
        <v>marlene.buhr@martinus-gymnasium.de</v>
      </c>
      <c r="F61" t="s">
        <v>164</v>
      </c>
    </row>
    <row r="62" spans="1:6" x14ac:dyDescent="0.2">
      <c r="A62" s="1" t="s">
        <v>121</v>
      </c>
      <c r="B62" s="1" t="s">
        <v>122</v>
      </c>
      <c r="C62" s="1" t="str">
        <f t="shared" si="0"/>
        <v>lena</v>
      </c>
      <c r="D62" s="1" t="str">
        <f t="shared" si="1"/>
        <v>chunangamparampan</v>
      </c>
      <c r="E62" s="1" t="str">
        <f t="shared" si="2"/>
        <v>lena.chunangamparampan@martinus-gymnasium.de</v>
      </c>
      <c r="F62" t="s">
        <v>164</v>
      </c>
    </row>
    <row r="63" spans="1:6" x14ac:dyDescent="0.2">
      <c r="A63" s="1" t="s">
        <v>123</v>
      </c>
      <c r="B63" s="1" t="s">
        <v>124</v>
      </c>
      <c r="C63" s="1" t="str">
        <f t="shared" si="0"/>
        <v>sanjo</v>
      </c>
      <c r="D63" s="1" t="str">
        <f t="shared" si="1"/>
        <v>collura</v>
      </c>
      <c r="E63" s="1" t="str">
        <f t="shared" si="2"/>
        <v>sanjo.collura@martinus-gymnasium.de</v>
      </c>
      <c r="F63" t="s">
        <v>164</v>
      </c>
    </row>
    <row r="64" spans="1:6" x14ac:dyDescent="0.2">
      <c r="A64" s="1" t="s">
        <v>125</v>
      </c>
      <c r="B64" s="1" t="s">
        <v>126</v>
      </c>
      <c r="C64" s="1" t="str">
        <f t="shared" si="0"/>
        <v>emilia</v>
      </c>
      <c r="D64" s="1" t="str">
        <f t="shared" si="1"/>
        <v>dimitrievska</v>
      </c>
      <c r="E64" s="1" t="str">
        <f t="shared" si="2"/>
        <v>emilia.dimitrievska@martinus-gymnasium.de</v>
      </c>
      <c r="F64" t="s">
        <v>164</v>
      </c>
    </row>
    <row r="65" spans="1:6" x14ac:dyDescent="0.2">
      <c r="A65" s="1" t="s">
        <v>127</v>
      </c>
      <c r="B65" s="1" t="s">
        <v>128</v>
      </c>
      <c r="C65" s="1" t="str">
        <f t="shared" ref="C65:C126" si="3">LOWER(SUBSTITUTE(SUBSTITUTE(SUBSTITUTE(SUBSTITUTE(SUBSTITUTE(SUBSTITUTE(SUBSTITUTE(SUBSTITUTE(SUBSTITUTE(SUBSTITUTE(SUBSTITUTE(B65," ","."),"-","."),"ä","ae"),"ö","oe"),"ü","ue"),"ß","ss"),"é","e"),"ú","u"),"á","a"),"Ł","L"),"ł","l"))</f>
        <v>mia</v>
      </c>
      <c r="D65" s="1" t="str">
        <f t="shared" ref="D65:D126" si="4">LOWER(SUBSTITUTE(SUBSTITUTE(SUBSTITUTE(SUBSTITUTE(SUBSTITUTE(SUBSTITUTE(SUBSTITUTE(SUBSTITUTE(SUBSTITUTE(SUBSTITUTE(SUBSTITUTE(A65," ","."),"-","."),"ä","ae"),"ö","oe"),"ü","ue"),"ß","ss"),"é","e"),"ú","u"),"á","a"),"Ł","L"),"ł","l"))</f>
        <v>ermtraud</v>
      </c>
      <c r="E65" s="1" t="str">
        <f t="shared" si="2"/>
        <v>mia.ermtraud@martinus-gymnasium.de</v>
      </c>
      <c r="F65" t="s">
        <v>164</v>
      </c>
    </row>
    <row r="66" spans="1:6" x14ac:dyDescent="0.2">
      <c r="A66" s="1" t="s">
        <v>129</v>
      </c>
      <c r="B66" s="1" t="s">
        <v>130</v>
      </c>
      <c r="C66" s="1" t="str">
        <f t="shared" si="3"/>
        <v>luthien</v>
      </c>
      <c r="D66" s="1" t="str">
        <f t="shared" si="4"/>
        <v>frye</v>
      </c>
      <c r="E66" s="1" t="str">
        <f t="shared" si="2"/>
        <v>luthien.frye@martinus-gymnasium.de</v>
      </c>
      <c r="F66" t="s">
        <v>164</v>
      </c>
    </row>
    <row r="67" spans="1:6" x14ac:dyDescent="0.2">
      <c r="A67" s="1" t="s">
        <v>131</v>
      </c>
      <c r="B67" s="1" t="s">
        <v>132</v>
      </c>
      <c r="C67" s="1" t="str">
        <f t="shared" si="3"/>
        <v>greta</v>
      </c>
      <c r="D67" s="1" t="str">
        <f t="shared" si="4"/>
        <v>hadaschik</v>
      </c>
      <c r="E67" s="1" t="str">
        <f t="shared" ref="E67:E130" si="5">C67&amp;"."&amp;D67&amp;"@martinus-gymnasium.de"</f>
        <v>greta.hadaschik@martinus-gymnasium.de</v>
      </c>
      <c r="F67" t="s">
        <v>164</v>
      </c>
    </row>
    <row r="68" spans="1:6" x14ac:dyDescent="0.2">
      <c r="A68" s="1" t="s">
        <v>133</v>
      </c>
      <c r="B68" s="1" t="s">
        <v>134</v>
      </c>
      <c r="C68" s="1" t="str">
        <f t="shared" si="3"/>
        <v>sofia</v>
      </c>
      <c r="D68" s="1" t="str">
        <f t="shared" si="4"/>
        <v>haupt</v>
      </c>
      <c r="E68" s="1" t="str">
        <f t="shared" si="5"/>
        <v>sofia.haupt@martinus-gymnasium.de</v>
      </c>
      <c r="F68" t="s">
        <v>164</v>
      </c>
    </row>
    <row r="69" spans="1:6" x14ac:dyDescent="0.2">
      <c r="A69" s="1" t="s">
        <v>135</v>
      </c>
      <c r="B69" s="1" t="s">
        <v>136</v>
      </c>
      <c r="C69" s="1" t="str">
        <f t="shared" si="3"/>
        <v>lara</v>
      </c>
      <c r="D69" s="1" t="str">
        <f t="shared" si="4"/>
        <v>hoffmann</v>
      </c>
      <c r="E69" s="1" t="str">
        <f t="shared" si="5"/>
        <v>lara.hoffmann@martinus-gymnasium.de</v>
      </c>
      <c r="F69" t="s">
        <v>164</v>
      </c>
    </row>
    <row r="70" spans="1:6" x14ac:dyDescent="0.2">
      <c r="A70" s="1" t="s">
        <v>137</v>
      </c>
      <c r="B70" s="1" t="s">
        <v>138</v>
      </c>
      <c r="C70" s="1" t="str">
        <f t="shared" si="3"/>
        <v>luca</v>
      </c>
      <c r="D70" s="1" t="str">
        <f t="shared" si="4"/>
        <v>juenger</v>
      </c>
      <c r="E70" s="1" t="str">
        <f t="shared" si="5"/>
        <v>luca.juenger@martinus-gymnasium.de</v>
      </c>
      <c r="F70" t="s">
        <v>164</v>
      </c>
    </row>
    <row r="71" spans="1:6" x14ac:dyDescent="0.2">
      <c r="A71" s="1" t="s">
        <v>139</v>
      </c>
      <c r="B71" s="1" t="s">
        <v>140</v>
      </c>
      <c r="C71" s="1" t="str">
        <f t="shared" si="3"/>
        <v>emily.bao.nhi</v>
      </c>
      <c r="D71" s="1" t="str">
        <f t="shared" si="4"/>
        <v>le</v>
      </c>
      <c r="E71" s="1" t="str">
        <f t="shared" si="5"/>
        <v>emily.bao.nhi.le@martinus-gymnasium.de</v>
      </c>
      <c r="F71" t="s">
        <v>164</v>
      </c>
    </row>
    <row r="72" spans="1:6" x14ac:dyDescent="0.2">
      <c r="A72" s="1" t="s">
        <v>141</v>
      </c>
      <c r="B72" s="1" t="s">
        <v>142</v>
      </c>
      <c r="C72" s="1" t="str">
        <f t="shared" si="3"/>
        <v>luke</v>
      </c>
      <c r="D72" s="1" t="str">
        <f t="shared" si="4"/>
        <v>mertesacker</v>
      </c>
      <c r="E72" s="1" t="str">
        <f t="shared" si="5"/>
        <v>luke.mertesacker@martinus-gymnasium.de</v>
      </c>
      <c r="F72" t="s">
        <v>164</v>
      </c>
    </row>
    <row r="73" spans="1:6" x14ac:dyDescent="0.2">
      <c r="A73" s="1" t="s">
        <v>143</v>
      </c>
      <c r="B73" s="1" t="s">
        <v>144</v>
      </c>
      <c r="C73" s="1" t="str">
        <f t="shared" si="3"/>
        <v>phung</v>
      </c>
      <c r="D73" s="1" t="str">
        <f t="shared" si="4"/>
        <v>nguyen</v>
      </c>
      <c r="E73" s="1" t="str">
        <f t="shared" si="5"/>
        <v>phung.nguyen@martinus-gymnasium.de</v>
      </c>
      <c r="F73" t="s">
        <v>164</v>
      </c>
    </row>
    <row r="74" spans="1:6" x14ac:dyDescent="0.2">
      <c r="A74" s="1" t="s">
        <v>145</v>
      </c>
      <c r="B74" s="1" t="s">
        <v>146</v>
      </c>
      <c r="C74" s="1" t="str">
        <f t="shared" si="3"/>
        <v>marie.josefine</v>
      </c>
      <c r="D74" s="1" t="str">
        <f t="shared" si="4"/>
        <v>niederee</v>
      </c>
      <c r="E74" s="1" t="str">
        <f t="shared" si="5"/>
        <v>marie.josefine.niederee@martinus-gymnasium.de</v>
      </c>
      <c r="F74" t="s">
        <v>164</v>
      </c>
    </row>
    <row r="75" spans="1:6" x14ac:dyDescent="0.2">
      <c r="A75" s="1" t="s">
        <v>147</v>
      </c>
      <c r="B75" s="1" t="s">
        <v>148</v>
      </c>
      <c r="C75" s="1" t="str">
        <f t="shared" si="3"/>
        <v>kristian</v>
      </c>
      <c r="D75" s="1" t="str">
        <f t="shared" si="4"/>
        <v>pogorelow</v>
      </c>
      <c r="E75" s="1" t="str">
        <f t="shared" si="5"/>
        <v>kristian.pogorelow@martinus-gymnasium.de</v>
      </c>
      <c r="F75" t="s">
        <v>164</v>
      </c>
    </row>
    <row r="76" spans="1:6" x14ac:dyDescent="0.2">
      <c r="A76" s="1" t="s">
        <v>149</v>
      </c>
      <c r="B76" s="1" t="s">
        <v>67</v>
      </c>
      <c r="C76" s="1" t="str">
        <f t="shared" si="3"/>
        <v>jonas</v>
      </c>
      <c r="D76" s="1" t="str">
        <f t="shared" si="4"/>
        <v>schoss</v>
      </c>
      <c r="E76" s="1" t="str">
        <f t="shared" si="5"/>
        <v>jonas.schoss@martinus-gymnasium.de</v>
      </c>
      <c r="F76" t="s">
        <v>164</v>
      </c>
    </row>
    <row r="77" spans="1:6" x14ac:dyDescent="0.2">
      <c r="A77" s="1" t="s">
        <v>150</v>
      </c>
      <c r="B77" s="1" t="s">
        <v>151</v>
      </c>
      <c r="C77" s="1" t="str">
        <f t="shared" si="3"/>
        <v>marisa</v>
      </c>
      <c r="D77" s="1" t="str">
        <f t="shared" si="4"/>
        <v>simonis</v>
      </c>
      <c r="E77" s="1" t="str">
        <f t="shared" si="5"/>
        <v>marisa.simonis@martinus-gymnasium.de</v>
      </c>
      <c r="F77" t="s">
        <v>164</v>
      </c>
    </row>
    <row r="78" spans="1:6" x14ac:dyDescent="0.2">
      <c r="A78" s="1" t="s">
        <v>152</v>
      </c>
      <c r="B78" s="1" t="s">
        <v>153</v>
      </c>
      <c r="C78" s="1" t="str">
        <f t="shared" si="3"/>
        <v>lea.sophie</v>
      </c>
      <c r="D78" s="1" t="str">
        <f t="shared" si="4"/>
        <v>stein</v>
      </c>
      <c r="E78" s="1" t="str">
        <f t="shared" si="5"/>
        <v>lea.sophie.stein@martinus-gymnasium.de</v>
      </c>
      <c r="F78" t="s">
        <v>164</v>
      </c>
    </row>
    <row r="79" spans="1:6" x14ac:dyDescent="0.2">
      <c r="A79" s="1" t="s">
        <v>154</v>
      </c>
      <c r="B79" s="1" t="s">
        <v>155</v>
      </c>
      <c r="C79" s="1" t="str">
        <f t="shared" si="3"/>
        <v>melissa</v>
      </c>
      <c r="D79" s="1" t="str">
        <f t="shared" si="4"/>
        <v>stumpf</v>
      </c>
      <c r="E79" s="1" t="str">
        <f t="shared" si="5"/>
        <v>melissa.stumpf@martinus-gymnasium.de</v>
      </c>
      <c r="F79" t="s">
        <v>164</v>
      </c>
    </row>
    <row r="80" spans="1:6" x14ac:dyDescent="0.2">
      <c r="A80" s="1" t="s">
        <v>156</v>
      </c>
      <c r="B80" s="1" t="s">
        <v>157</v>
      </c>
      <c r="C80" s="1" t="str">
        <f t="shared" si="3"/>
        <v>tanja</v>
      </c>
      <c r="D80" s="1" t="str">
        <f t="shared" si="4"/>
        <v>swirsky</v>
      </c>
      <c r="E80" s="1" t="str">
        <f t="shared" si="5"/>
        <v>tanja.swirsky@martinus-gymnasium.de</v>
      </c>
      <c r="F80" t="s">
        <v>164</v>
      </c>
    </row>
    <row r="81" spans="1:6" x14ac:dyDescent="0.2">
      <c r="A81" s="1" t="s">
        <v>158</v>
      </c>
      <c r="B81" s="1" t="s">
        <v>159</v>
      </c>
      <c r="C81" s="1" t="str">
        <f t="shared" si="3"/>
        <v>ella</v>
      </c>
      <c r="D81" s="1" t="str">
        <f t="shared" si="4"/>
        <v>vetsch</v>
      </c>
      <c r="E81" s="1" t="str">
        <f t="shared" si="5"/>
        <v>ella.vetsch@martinus-gymnasium.de</v>
      </c>
      <c r="F81" t="s">
        <v>164</v>
      </c>
    </row>
    <row r="82" spans="1:6" x14ac:dyDescent="0.2">
      <c r="A82" s="1" t="s">
        <v>160</v>
      </c>
      <c r="B82" s="1" t="s">
        <v>161</v>
      </c>
      <c r="C82" s="1" t="str">
        <f t="shared" si="3"/>
        <v>klara</v>
      </c>
      <c r="D82" s="1" t="str">
        <f t="shared" si="4"/>
        <v>weiss</v>
      </c>
      <c r="E82" s="1" t="str">
        <f t="shared" si="5"/>
        <v>klara.weiss@martinus-gymnasium.de</v>
      </c>
      <c r="F82" t="s">
        <v>164</v>
      </c>
    </row>
    <row r="83" spans="1:6" x14ac:dyDescent="0.2">
      <c r="A83" s="1" t="s">
        <v>111</v>
      </c>
      <c r="B83" s="1" t="s">
        <v>162</v>
      </c>
      <c r="C83" s="1" t="str">
        <f t="shared" si="3"/>
        <v>benjamin</v>
      </c>
      <c r="D83" s="1" t="str">
        <f t="shared" si="4"/>
        <v>zeichner</v>
      </c>
      <c r="E83" s="1" t="str">
        <f t="shared" si="5"/>
        <v>benjamin.zeichner@martinus-gymnasium.de</v>
      </c>
      <c r="F83" t="s">
        <v>164</v>
      </c>
    </row>
    <row r="84" spans="1:6" x14ac:dyDescent="0.2">
      <c r="A84" s="1" t="s">
        <v>111</v>
      </c>
      <c r="B84" s="1" t="s">
        <v>163</v>
      </c>
      <c r="C84" s="1" t="str">
        <f t="shared" si="3"/>
        <v>rosa</v>
      </c>
      <c r="D84" s="1" t="str">
        <f t="shared" si="4"/>
        <v>zeichner</v>
      </c>
      <c r="E84" s="1" t="str">
        <f t="shared" si="5"/>
        <v>rosa.zeichner@martinus-gymnasium.de</v>
      </c>
      <c r="F84" t="s">
        <v>164</v>
      </c>
    </row>
    <row r="85" spans="1:6" x14ac:dyDescent="0.2">
      <c r="A85" s="1" t="s">
        <v>166</v>
      </c>
      <c r="B85" s="1" t="s">
        <v>167</v>
      </c>
      <c r="C85" s="1" t="str">
        <f t="shared" si="3"/>
        <v>caner</v>
      </c>
      <c r="D85" s="1" t="str">
        <f t="shared" si="4"/>
        <v>akden</v>
      </c>
      <c r="E85" s="1" t="str">
        <f t="shared" si="5"/>
        <v>caner.akden@martinus-gymnasium.de</v>
      </c>
      <c r="F85" t="s">
        <v>165</v>
      </c>
    </row>
    <row r="86" spans="1:6" x14ac:dyDescent="0.2">
      <c r="A86" s="1" t="s">
        <v>168</v>
      </c>
      <c r="B86" s="1" t="s">
        <v>169</v>
      </c>
      <c r="C86" s="1" t="str">
        <f t="shared" si="3"/>
        <v>amelie</v>
      </c>
      <c r="D86" s="1" t="str">
        <f t="shared" si="4"/>
        <v>fossemer</v>
      </c>
      <c r="E86" s="1" t="str">
        <f t="shared" si="5"/>
        <v>amelie.fossemer@martinus-gymnasium.de</v>
      </c>
      <c r="F86" t="s">
        <v>165</v>
      </c>
    </row>
    <row r="87" spans="1:6" x14ac:dyDescent="0.2">
      <c r="A87" s="1" t="s">
        <v>170</v>
      </c>
      <c r="B87" s="1" t="s">
        <v>171</v>
      </c>
      <c r="C87" s="1" t="str">
        <f t="shared" si="3"/>
        <v>qasim</v>
      </c>
      <c r="D87" s="1" t="str">
        <f t="shared" si="4"/>
        <v>francisco</v>
      </c>
      <c r="E87" s="1" t="str">
        <f t="shared" si="5"/>
        <v>qasim.francisco@martinus-gymnasium.de</v>
      </c>
      <c r="F87" t="s">
        <v>165</v>
      </c>
    </row>
    <row r="88" spans="1:6" x14ac:dyDescent="0.2">
      <c r="A88" s="1" t="s">
        <v>172</v>
      </c>
      <c r="B88" s="1" t="s">
        <v>93</v>
      </c>
      <c r="C88" s="1" t="str">
        <f t="shared" si="3"/>
        <v>sophie</v>
      </c>
      <c r="D88" s="1" t="str">
        <f t="shared" si="4"/>
        <v>glaetzner</v>
      </c>
      <c r="E88" s="1" t="str">
        <f t="shared" si="5"/>
        <v>sophie.glaetzner@martinus-gymnasium.de</v>
      </c>
      <c r="F88" t="s">
        <v>165</v>
      </c>
    </row>
    <row r="89" spans="1:6" x14ac:dyDescent="0.2">
      <c r="A89" s="1" t="s">
        <v>173</v>
      </c>
      <c r="B89" s="1" t="s">
        <v>174</v>
      </c>
      <c r="C89" s="1" t="str">
        <f t="shared" si="3"/>
        <v>marlena</v>
      </c>
      <c r="D89" s="1" t="str">
        <f t="shared" si="4"/>
        <v>kauferstein</v>
      </c>
      <c r="E89" s="1" t="str">
        <f t="shared" si="5"/>
        <v>marlena.kauferstein@martinus-gymnasium.de</v>
      </c>
      <c r="F89" t="s">
        <v>165</v>
      </c>
    </row>
    <row r="90" spans="1:6" x14ac:dyDescent="0.2">
      <c r="A90" s="1" t="s">
        <v>175</v>
      </c>
      <c r="B90" s="1" t="s">
        <v>176</v>
      </c>
      <c r="C90" s="1" t="str">
        <f t="shared" si="3"/>
        <v>harun</v>
      </c>
      <c r="D90" s="1" t="str">
        <f t="shared" si="4"/>
        <v>kedikoglu</v>
      </c>
      <c r="E90" s="1" t="str">
        <f t="shared" si="5"/>
        <v>harun.kedikoglu@martinus-gymnasium.de</v>
      </c>
      <c r="F90" t="s">
        <v>165</v>
      </c>
    </row>
    <row r="91" spans="1:6" x14ac:dyDescent="0.2">
      <c r="A91" s="1" t="s">
        <v>177</v>
      </c>
      <c r="B91" s="1" t="s">
        <v>120</v>
      </c>
      <c r="C91" s="1" t="str">
        <f t="shared" si="3"/>
        <v>marlene</v>
      </c>
      <c r="D91" s="1" t="str">
        <f t="shared" si="4"/>
        <v>koepcke</v>
      </c>
      <c r="E91" s="1" t="str">
        <f t="shared" si="5"/>
        <v>marlene.koepcke@martinus-gymnasium.de</v>
      </c>
      <c r="F91" t="s">
        <v>165</v>
      </c>
    </row>
    <row r="92" spans="1:6" x14ac:dyDescent="0.2">
      <c r="A92" s="1" t="s">
        <v>178</v>
      </c>
      <c r="B92" s="1" t="s">
        <v>179</v>
      </c>
      <c r="C92" s="1" t="str">
        <f t="shared" si="3"/>
        <v>ronja</v>
      </c>
      <c r="D92" s="1" t="str">
        <f t="shared" si="4"/>
        <v>kroeger</v>
      </c>
      <c r="E92" s="1" t="str">
        <f t="shared" si="5"/>
        <v>ronja.kroeger@martinus-gymnasium.de</v>
      </c>
      <c r="F92" t="s">
        <v>165</v>
      </c>
    </row>
    <row r="93" spans="1:6" x14ac:dyDescent="0.2">
      <c r="A93" s="1" t="s">
        <v>180</v>
      </c>
      <c r="B93" s="1" t="s">
        <v>181</v>
      </c>
      <c r="C93" s="1" t="str">
        <f t="shared" si="3"/>
        <v>maike</v>
      </c>
      <c r="D93" s="1" t="str">
        <f t="shared" si="4"/>
        <v>kroell</v>
      </c>
      <c r="E93" s="1" t="str">
        <f t="shared" si="5"/>
        <v>maike.kroell@martinus-gymnasium.de</v>
      </c>
      <c r="F93" t="s">
        <v>165</v>
      </c>
    </row>
    <row r="94" spans="1:6" x14ac:dyDescent="0.2">
      <c r="A94" s="1" t="s">
        <v>182</v>
      </c>
      <c r="B94" s="1" t="s">
        <v>183</v>
      </c>
      <c r="C94" s="1" t="str">
        <f t="shared" si="3"/>
        <v>michal</v>
      </c>
      <c r="D94" s="1" t="str">
        <f t="shared" si="4"/>
        <v>laniewski</v>
      </c>
      <c r="E94" s="1" t="str">
        <f t="shared" si="5"/>
        <v>michal.laniewski@martinus-gymnasium.de</v>
      </c>
      <c r="F94" t="s">
        <v>165</v>
      </c>
    </row>
    <row r="95" spans="1:6" x14ac:dyDescent="0.2">
      <c r="A95" s="1" t="s">
        <v>184</v>
      </c>
      <c r="B95" s="1" t="s">
        <v>185</v>
      </c>
      <c r="C95" s="1" t="str">
        <f t="shared" si="3"/>
        <v>ilaria</v>
      </c>
      <c r="D95" s="1" t="str">
        <f t="shared" si="4"/>
        <v>lopez</v>
      </c>
      <c r="E95" s="1" t="str">
        <f t="shared" si="5"/>
        <v>ilaria.lopez@martinus-gymnasium.de</v>
      </c>
      <c r="F95" t="s">
        <v>165</v>
      </c>
    </row>
    <row r="96" spans="1:6" x14ac:dyDescent="0.2">
      <c r="A96" s="1" t="s">
        <v>186</v>
      </c>
      <c r="B96" s="1" t="s">
        <v>187</v>
      </c>
      <c r="C96" s="1" t="str">
        <f t="shared" si="3"/>
        <v>hannah</v>
      </c>
      <c r="D96" s="1" t="str">
        <f t="shared" si="4"/>
        <v>martin</v>
      </c>
      <c r="E96" s="1" t="str">
        <f t="shared" si="5"/>
        <v>hannah.martin@martinus-gymnasium.de</v>
      </c>
      <c r="F96" t="s">
        <v>165</v>
      </c>
    </row>
    <row r="97" spans="1:6" x14ac:dyDescent="0.2">
      <c r="A97" s="1" t="s">
        <v>188</v>
      </c>
      <c r="B97" s="1" t="s">
        <v>189</v>
      </c>
      <c r="C97" s="1" t="str">
        <f t="shared" si="3"/>
        <v>demian</v>
      </c>
      <c r="D97" s="1" t="str">
        <f t="shared" si="4"/>
        <v>moch</v>
      </c>
      <c r="E97" s="1" t="str">
        <f t="shared" si="5"/>
        <v>demian.moch@martinus-gymnasium.de</v>
      </c>
      <c r="F97" t="s">
        <v>165</v>
      </c>
    </row>
    <row r="98" spans="1:6" x14ac:dyDescent="0.2">
      <c r="A98" s="1" t="s">
        <v>190</v>
      </c>
      <c r="B98" s="1" t="s">
        <v>191</v>
      </c>
      <c r="C98" s="1" t="str">
        <f t="shared" si="3"/>
        <v>chia</v>
      </c>
      <c r="D98" s="1" t="str">
        <f t="shared" si="4"/>
        <v>mohamed</v>
      </c>
      <c r="E98" s="1" t="str">
        <f t="shared" si="5"/>
        <v>chia.mohamed@martinus-gymnasium.de</v>
      </c>
      <c r="F98" t="s">
        <v>165</v>
      </c>
    </row>
    <row r="99" spans="1:6" x14ac:dyDescent="0.2">
      <c r="A99" s="1" t="s">
        <v>192</v>
      </c>
      <c r="B99" s="1" t="s">
        <v>193</v>
      </c>
      <c r="C99" s="1" t="str">
        <f t="shared" si="3"/>
        <v>lala</v>
      </c>
      <c r="D99" s="1" t="str">
        <f t="shared" si="4"/>
        <v>samadova</v>
      </c>
      <c r="E99" s="1" t="str">
        <f t="shared" si="5"/>
        <v>lala.samadova@martinus-gymnasium.de</v>
      </c>
      <c r="F99" t="s">
        <v>165</v>
      </c>
    </row>
    <row r="100" spans="1:6" x14ac:dyDescent="0.2">
      <c r="A100" s="1" t="s">
        <v>194</v>
      </c>
      <c r="B100" s="1" t="s">
        <v>195</v>
      </c>
      <c r="C100" s="1" t="str">
        <f t="shared" si="3"/>
        <v>zoe</v>
      </c>
      <c r="D100" s="1" t="str">
        <f t="shared" si="4"/>
        <v>scharfenstein</v>
      </c>
      <c r="E100" s="1" t="str">
        <f t="shared" si="5"/>
        <v>zoe.scharfenstein@martinus-gymnasium.de</v>
      </c>
      <c r="F100" t="s">
        <v>165</v>
      </c>
    </row>
    <row r="101" spans="1:6" x14ac:dyDescent="0.2">
      <c r="A101" s="1" t="s">
        <v>196</v>
      </c>
      <c r="B101" s="1" t="s">
        <v>197</v>
      </c>
      <c r="C101" s="1" t="str">
        <f t="shared" si="3"/>
        <v>ruby</v>
      </c>
      <c r="D101" s="1" t="str">
        <f t="shared" si="4"/>
        <v>schlueter</v>
      </c>
      <c r="E101" s="1" t="str">
        <f t="shared" si="5"/>
        <v>ruby.schlueter@martinus-gymnasium.de</v>
      </c>
      <c r="F101" t="s">
        <v>165</v>
      </c>
    </row>
    <row r="102" spans="1:6" x14ac:dyDescent="0.2">
      <c r="A102" s="1" t="s">
        <v>45</v>
      </c>
      <c r="B102" s="1" t="s">
        <v>198</v>
      </c>
      <c r="C102" s="1" t="str">
        <f t="shared" si="3"/>
        <v>jonah</v>
      </c>
      <c r="D102" s="1" t="str">
        <f t="shared" si="4"/>
        <v>schmitz</v>
      </c>
      <c r="E102" s="1" t="str">
        <f t="shared" si="5"/>
        <v>jonah.schmitz@martinus-gymnasium.de</v>
      </c>
      <c r="F102" t="s">
        <v>165</v>
      </c>
    </row>
    <row r="103" spans="1:6" x14ac:dyDescent="0.2">
      <c r="A103" s="1" t="s">
        <v>47</v>
      </c>
      <c r="B103" s="1" t="s">
        <v>122</v>
      </c>
      <c r="C103" s="1" t="str">
        <f t="shared" si="3"/>
        <v>lena</v>
      </c>
      <c r="D103" s="1" t="str">
        <f t="shared" si="4"/>
        <v>schneider</v>
      </c>
      <c r="E103" s="1" t="str">
        <f t="shared" si="5"/>
        <v>lena.schneider@martinus-gymnasium.de</v>
      </c>
      <c r="F103" t="s">
        <v>165</v>
      </c>
    </row>
    <row r="104" spans="1:6" x14ac:dyDescent="0.2">
      <c r="A104" s="1" t="s">
        <v>199</v>
      </c>
      <c r="B104" s="1" t="s">
        <v>200</v>
      </c>
      <c r="C104" s="1" t="str">
        <f t="shared" si="3"/>
        <v>fabian</v>
      </c>
      <c r="D104" s="1" t="str">
        <f t="shared" si="4"/>
        <v>schuh</v>
      </c>
      <c r="E104" s="1" t="str">
        <f t="shared" si="5"/>
        <v>fabian.schuh@martinus-gymnasium.de</v>
      </c>
      <c r="F104" t="s">
        <v>165</v>
      </c>
    </row>
    <row r="105" spans="1:6" x14ac:dyDescent="0.2">
      <c r="A105" s="1" t="s">
        <v>201</v>
      </c>
      <c r="B105" s="1" t="s">
        <v>202</v>
      </c>
      <c r="C105" s="1" t="str">
        <f t="shared" si="3"/>
        <v>paula</v>
      </c>
      <c r="D105" s="1" t="str">
        <f t="shared" si="4"/>
        <v>seidensticker</v>
      </c>
      <c r="E105" s="1" t="str">
        <f t="shared" si="5"/>
        <v>paula.seidensticker@martinus-gymnasium.de</v>
      </c>
      <c r="F105" t="s">
        <v>165</v>
      </c>
    </row>
    <row r="106" spans="1:6" x14ac:dyDescent="0.2">
      <c r="A106" s="1" t="s">
        <v>203</v>
      </c>
      <c r="B106" s="1" t="s">
        <v>204</v>
      </c>
      <c r="C106" s="1" t="str">
        <f t="shared" si="3"/>
        <v>lisa.marie</v>
      </c>
      <c r="D106" s="1" t="str">
        <f t="shared" si="4"/>
        <v>seyffert</v>
      </c>
      <c r="E106" s="1" t="str">
        <f t="shared" si="5"/>
        <v>lisa.marie.seyffert@martinus-gymnasium.de</v>
      </c>
      <c r="F106" t="s">
        <v>165</v>
      </c>
    </row>
    <row r="107" spans="1:6" x14ac:dyDescent="0.2">
      <c r="A107" s="1" t="s">
        <v>205</v>
      </c>
      <c r="B107" s="1" t="s">
        <v>206</v>
      </c>
      <c r="C107" s="1" t="str">
        <f t="shared" si="3"/>
        <v>neo</v>
      </c>
      <c r="D107" s="1" t="str">
        <f t="shared" si="4"/>
        <v>unsaeng</v>
      </c>
      <c r="E107" s="1" t="str">
        <f t="shared" si="5"/>
        <v>neo.unsaeng@martinus-gymnasium.de</v>
      </c>
      <c r="F107" t="s">
        <v>165</v>
      </c>
    </row>
    <row r="108" spans="1:6" x14ac:dyDescent="0.2">
      <c r="A108" s="1" t="s">
        <v>207</v>
      </c>
      <c r="B108" s="1" t="s">
        <v>71</v>
      </c>
      <c r="C108" s="1" t="str">
        <f t="shared" si="3"/>
        <v>darius</v>
      </c>
      <c r="D108" s="1" t="str">
        <f t="shared" si="4"/>
        <v>zimmermann</v>
      </c>
      <c r="E108" s="1" t="str">
        <f t="shared" si="5"/>
        <v>darius.zimmermann@martinus-gymnasium.de</v>
      </c>
      <c r="F108" t="s">
        <v>165</v>
      </c>
    </row>
    <row r="109" spans="1:6" x14ac:dyDescent="0.2">
      <c r="A109" s="1" t="s">
        <v>208</v>
      </c>
      <c r="B109" s="1" t="s">
        <v>209</v>
      </c>
      <c r="C109" s="1" t="str">
        <f t="shared" si="3"/>
        <v>helena.maria</v>
      </c>
      <c r="D109" s="1" t="str">
        <f t="shared" si="4"/>
        <v>atzl</v>
      </c>
      <c r="E109" s="1" t="str">
        <f t="shared" si="5"/>
        <v>helena.maria.atzl@martinus-gymnasium.de</v>
      </c>
      <c r="F109" t="s">
        <v>254</v>
      </c>
    </row>
    <row r="110" spans="1:6" x14ac:dyDescent="0.2">
      <c r="A110" s="1" t="s">
        <v>210</v>
      </c>
      <c r="B110" s="1" t="s">
        <v>211</v>
      </c>
      <c r="C110" s="1" t="str">
        <f t="shared" si="3"/>
        <v>mira</v>
      </c>
      <c r="D110" s="1" t="str">
        <f t="shared" si="4"/>
        <v>bleckwenn</v>
      </c>
      <c r="E110" s="1" t="str">
        <f t="shared" si="5"/>
        <v>mira.bleckwenn@martinus-gymnasium.de</v>
      </c>
      <c r="F110" t="s">
        <v>254</v>
      </c>
    </row>
    <row r="111" spans="1:6" x14ac:dyDescent="0.2">
      <c r="A111" s="1" t="s">
        <v>212</v>
      </c>
      <c r="B111" s="1" t="s">
        <v>213</v>
      </c>
      <c r="C111" s="1" t="str">
        <f t="shared" si="3"/>
        <v>azra</v>
      </c>
      <c r="D111" s="1" t="str">
        <f t="shared" si="4"/>
        <v>celik</v>
      </c>
      <c r="E111" s="1" t="str">
        <f t="shared" si="5"/>
        <v>azra.celik@martinus-gymnasium.de</v>
      </c>
      <c r="F111" t="s">
        <v>254</v>
      </c>
    </row>
    <row r="112" spans="1:6" x14ac:dyDescent="0.2">
      <c r="A112" s="1" t="s">
        <v>214</v>
      </c>
      <c r="B112" s="1" t="s">
        <v>215</v>
      </c>
      <c r="C112" s="1" t="str">
        <f t="shared" si="3"/>
        <v>tobias</v>
      </c>
      <c r="D112" s="1" t="str">
        <f t="shared" si="4"/>
        <v>dehms</v>
      </c>
      <c r="E112" s="1" t="str">
        <f t="shared" si="5"/>
        <v>tobias.dehms@martinus-gymnasium.de</v>
      </c>
      <c r="F112" t="s">
        <v>254</v>
      </c>
    </row>
    <row r="113" spans="1:6" x14ac:dyDescent="0.2">
      <c r="A113" s="1" t="s">
        <v>216</v>
      </c>
      <c r="B113" s="1" t="s">
        <v>217</v>
      </c>
      <c r="C113" s="1" t="str">
        <f t="shared" si="3"/>
        <v>samuel</v>
      </c>
      <c r="D113" s="1" t="str">
        <f t="shared" si="4"/>
        <v>heinold</v>
      </c>
      <c r="E113" s="1" t="str">
        <f t="shared" si="5"/>
        <v>samuel.heinold@martinus-gymnasium.de</v>
      </c>
      <c r="F113" t="s">
        <v>254</v>
      </c>
    </row>
    <row r="114" spans="1:6" x14ac:dyDescent="0.2">
      <c r="A114" s="1" t="s">
        <v>218</v>
      </c>
      <c r="B114" s="1" t="s">
        <v>219</v>
      </c>
      <c r="C114" s="1" t="str">
        <f t="shared" si="3"/>
        <v>felix</v>
      </c>
      <c r="D114" s="1" t="str">
        <f t="shared" si="4"/>
        <v>herzog</v>
      </c>
      <c r="E114" s="1" t="str">
        <f t="shared" si="5"/>
        <v>felix.herzog@martinus-gymnasium.de</v>
      </c>
      <c r="F114" t="s">
        <v>254</v>
      </c>
    </row>
    <row r="115" spans="1:6" x14ac:dyDescent="0.2">
      <c r="A115" s="1" t="s">
        <v>220</v>
      </c>
      <c r="B115" s="1" t="s">
        <v>221</v>
      </c>
      <c r="C115" s="1" t="str">
        <f t="shared" si="3"/>
        <v>razan</v>
      </c>
      <c r="D115" s="1" t="str">
        <f t="shared" si="4"/>
        <v>id</v>
      </c>
      <c r="E115" s="1" t="str">
        <f t="shared" si="5"/>
        <v>razan.id@martinus-gymnasium.de</v>
      </c>
      <c r="F115" t="s">
        <v>254</v>
      </c>
    </row>
    <row r="116" spans="1:6" x14ac:dyDescent="0.2">
      <c r="A116" s="1" t="s">
        <v>222</v>
      </c>
      <c r="B116" s="1" t="s">
        <v>223</v>
      </c>
      <c r="C116" s="1" t="str">
        <f t="shared" si="3"/>
        <v>gracja.viktoria</v>
      </c>
      <c r="D116" s="1" t="str">
        <f t="shared" si="4"/>
        <v>kasperowicz</v>
      </c>
      <c r="E116" s="1" t="str">
        <f t="shared" si="5"/>
        <v>gracja.viktoria.kasperowicz@martinus-gymnasium.de</v>
      </c>
      <c r="F116" t="s">
        <v>254</v>
      </c>
    </row>
    <row r="117" spans="1:6" x14ac:dyDescent="0.2">
      <c r="A117" s="1" t="s">
        <v>224</v>
      </c>
      <c r="B117" s="1" t="s">
        <v>225</v>
      </c>
      <c r="C117" s="1" t="str">
        <f t="shared" si="3"/>
        <v>baran</v>
      </c>
      <c r="D117" s="1" t="str">
        <f t="shared" si="4"/>
        <v>kilicaslan</v>
      </c>
      <c r="E117" s="1" t="str">
        <f t="shared" si="5"/>
        <v>baran.kilicaslan@martinus-gymnasium.de</v>
      </c>
      <c r="F117" t="s">
        <v>254</v>
      </c>
    </row>
    <row r="118" spans="1:6" x14ac:dyDescent="0.2">
      <c r="A118" s="1" t="s">
        <v>226</v>
      </c>
      <c r="B118" s="1" t="s">
        <v>36</v>
      </c>
      <c r="C118" s="1" t="str">
        <f t="shared" si="3"/>
        <v>maximilian</v>
      </c>
      <c r="D118" s="1" t="str">
        <f t="shared" si="4"/>
        <v>koch</v>
      </c>
      <c r="E118" s="1" t="str">
        <f t="shared" si="5"/>
        <v>maximilian.koch@martinus-gymnasium.de</v>
      </c>
      <c r="F118" t="s">
        <v>254</v>
      </c>
    </row>
    <row r="119" spans="1:6" x14ac:dyDescent="0.2">
      <c r="A119" s="1" t="s">
        <v>227</v>
      </c>
      <c r="B119" s="1" t="s">
        <v>228</v>
      </c>
      <c r="C119" s="1" t="str">
        <f t="shared" si="3"/>
        <v>dorian</v>
      </c>
      <c r="D119" s="1" t="str">
        <f t="shared" si="4"/>
        <v>kolfenbach</v>
      </c>
      <c r="E119" s="1" t="str">
        <f t="shared" si="5"/>
        <v>dorian.kolfenbach@martinus-gymnasium.de</v>
      </c>
      <c r="F119" t="s">
        <v>254</v>
      </c>
    </row>
    <row r="120" spans="1:6" x14ac:dyDescent="0.2">
      <c r="A120" s="1" t="s">
        <v>229</v>
      </c>
      <c r="B120" s="1" t="s">
        <v>78</v>
      </c>
      <c r="C120" s="1" t="str">
        <f t="shared" si="3"/>
        <v>lia</v>
      </c>
      <c r="D120" s="1" t="str">
        <f t="shared" si="4"/>
        <v>krudwig</v>
      </c>
      <c r="E120" s="1" t="str">
        <f t="shared" si="5"/>
        <v>lia.krudwig@martinus-gymnasium.de</v>
      </c>
      <c r="F120" t="s">
        <v>254</v>
      </c>
    </row>
    <row r="121" spans="1:6" x14ac:dyDescent="0.2">
      <c r="A121" s="1" t="s">
        <v>230</v>
      </c>
      <c r="B121" s="1" t="s">
        <v>231</v>
      </c>
      <c r="C121" s="1" t="str">
        <f t="shared" si="3"/>
        <v>pascal</v>
      </c>
      <c r="D121" s="1" t="str">
        <f t="shared" si="4"/>
        <v>lange</v>
      </c>
      <c r="E121" s="1" t="str">
        <f t="shared" si="5"/>
        <v>pascal.lange@martinus-gymnasium.de</v>
      </c>
      <c r="F121" t="s">
        <v>254</v>
      </c>
    </row>
    <row r="122" spans="1:6" x14ac:dyDescent="0.2">
      <c r="A122" s="1" t="s">
        <v>232</v>
      </c>
      <c r="B122" s="1" t="s">
        <v>233</v>
      </c>
      <c r="C122" s="1" t="str">
        <f t="shared" si="3"/>
        <v>sophia</v>
      </c>
      <c r="D122" s="1" t="str">
        <f t="shared" si="4"/>
        <v>mende</v>
      </c>
      <c r="E122" s="1" t="str">
        <f t="shared" si="5"/>
        <v>sophia.mende@martinus-gymnasium.de</v>
      </c>
      <c r="F122" t="s">
        <v>254</v>
      </c>
    </row>
    <row r="123" spans="1:6" x14ac:dyDescent="0.2">
      <c r="A123" s="1" t="s">
        <v>234</v>
      </c>
      <c r="B123" s="1" t="s">
        <v>235</v>
      </c>
      <c r="C123" s="1" t="str">
        <f t="shared" si="3"/>
        <v>laurin.jonathan</v>
      </c>
      <c r="D123" s="1" t="str">
        <f t="shared" si="4"/>
        <v>moll</v>
      </c>
      <c r="E123" s="1" t="str">
        <f t="shared" si="5"/>
        <v>laurin.jonathan.moll@martinus-gymnasium.de</v>
      </c>
      <c r="F123" t="s">
        <v>254</v>
      </c>
    </row>
    <row r="124" spans="1:6" x14ac:dyDescent="0.2">
      <c r="A124" s="1" t="s">
        <v>236</v>
      </c>
      <c r="B124" s="1" t="s">
        <v>237</v>
      </c>
      <c r="C124" s="1" t="str">
        <f t="shared" si="3"/>
        <v>sherifa.mandeeya</v>
      </c>
      <c r="D124" s="1" t="str">
        <f t="shared" si="4"/>
        <v>musah</v>
      </c>
      <c r="E124" s="1" t="str">
        <f t="shared" si="5"/>
        <v>sherifa.mandeeya.musah@martinus-gymnasium.de</v>
      </c>
      <c r="F124" t="s">
        <v>254</v>
      </c>
    </row>
    <row r="125" spans="1:6" x14ac:dyDescent="0.2">
      <c r="A125" s="1" t="s">
        <v>238</v>
      </c>
      <c r="B125" s="1" t="s">
        <v>239</v>
      </c>
      <c r="C125" s="1" t="str">
        <f t="shared" si="3"/>
        <v>malou</v>
      </c>
      <c r="D125" s="1" t="str">
        <f t="shared" si="4"/>
        <v>nietzard</v>
      </c>
      <c r="E125" s="1" t="str">
        <f t="shared" si="5"/>
        <v>malou.nietzard@martinus-gymnasium.de</v>
      </c>
      <c r="F125" t="s">
        <v>254</v>
      </c>
    </row>
    <row r="126" spans="1:6" x14ac:dyDescent="0.2">
      <c r="A126" s="1" t="s">
        <v>37</v>
      </c>
      <c r="B126" s="1" t="s">
        <v>240</v>
      </c>
      <c r="C126" s="1" t="str">
        <f t="shared" si="3"/>
        <v>milan</v>
      </c>
      <c r="D126" s="1" t="str">
        <f t="shared" si="4"/>
        <v>nowack</v>
      </c>
      <c r="E126" s="1" t="str">
        <f t="shared" si="5"/>
        <v>milan.nowack@martinus-gymnasium.de</v>
      </c>
      <c r="F126" t="s">
        <v>254</v>
      </c>
    </row>
    <row r="127" spans="1:6" x14ac:dyDescent="0.2">
      <c r="A127" s="1" t="s">
        <v>241</v>
      </c>
      <c r="B127" s="1" t="s">
        <v>242</v>
      </c>
      <c r="C127" s="1" t="str">
        <f t="shared" ref="C127:C187" si="6">LOWER(SUBSTITUTE(SUBSTITUTE(SUBSTITUTE(SUBSTITUTE(SUBSTITUTE(SUBSTITUTE(SUBSTITUTE(SUBSTITUTE(SUBSTITUTE(SUBSTITUTE(SUBSTITUTE(B127," ","."),"-","."),"ä","ae"),"ö","oe"),"ü","ue"),"ß","ss"),"é","e"),"ú","u"),"á","a"),"Ł","L"),"ł","l"))</f>
        <v>luis</v>
      </c>
      <c r="D127" s="1" t="str">
        <f t="shared" ref="D127:D187" si="7">LOWER(SUBSTITUTE(SUBSTITUTE(SUBSTITUTE(SUBSTITUTE(SUBSTITUTE(SUBSTITUTE(SUBSTITUTE(SUBSTITUTE(SUBSTITUTE(SUBSTITUTE(SUBSTITUTE(A127," ","."),"-","."),"ä","ae"),"ö","oe"),"ü","ue"),"ß","ss"),"é","e"),"ú","u"),"á","a"),"Ł","L"),"ł","l"))</f>
        <v>reetz</v>
      </c>
      <c r="E127" s="1" t="str">
        <f t="shared" si="5"/>
        <v>luis.reetz@martinus-gymnasium.de</v>
      </c>
      <c r="F127" t="s">
        <v>254</v>
      </c>
    </row>
    <row r="128" spans="1:6" x14ac:dyDescent="0.2">
      <c r="A128" s="1" t="s">
        <v>243</v>
      </c>
      <c r="B128" s="1" t="s">
        <v>244</v>
      </c>
      <c r="C128" s="1" t="str">
        <f t="shared" si="6"/>
        <v>simon</v>
      </c>
      <c r="D128" s="1" t="str">
        <f t="shared" si="7"/>
        <v>reinartz</v>
      </c>
      <c r="E128" s="1" t="str">
        <f t="shared" si="5"/>
        <v>simon.reinartz@martinus-gymnasium.de</v>
      </c>
      <c r="F128" t="s">
        <v>254</v>
      </c>
    </row>
    <row r="129" spans="1:6" x14ac:dyDescent="0.2">
      <c r="A129" s="1" t="s">
        <v>245</v>
      </c>
      <c r="B129" s="1" t="s">
        <v>246</v>
      </c>
      <c r="C129" s="1" t="str">
        <f t="shared" si="6"/>
        <v>thomas</v>
      </c>
      <c r="D129" s="1" t="str">
        <f t="shared" si="7"/>
        <v>richarz</v>
      </c>
      <c r="E129" s="1" t="str">
        <f t="shared" si="5"/>
        <v>thomas.richarz@martinus-gymnasium.de</v>
      </c>
      <c r="F129" t="s">
        <v>254</v>
      </c>
    </row>
    <row r="130" spans="1:6" x14ac:dyDescent="0.2">
      <c r="A130" s="1" t="s">
        <v>247</v>
      </c>
      <c r="B130" s="1" t="s">
        <v>202</v>
      </c>
      <c r="C130" s="1" t="str">
        <f t="shared" si="6"/>
        <v>paula</v>
      </c>
      <c r="D130" s="1" t="str">
        <f t="shared" si="7"/>
        <v>roemer</v>
      </c>
      <c r="E130" s="1" t="str">
        <f t="shared" si="5"/>
        <v>paula.roemer@martinus-gymnasium.de</v>
      </c>
      <c r="F130" t="s">
        <v>254</v>
      </c>
    </row>
    <row r="131" spans="1:6" x14ac:dyDescent="0.2">
      <c r="A131" s="1" t="s">
        <v>248</v>
      </c>
      <c r="B131" s="1" t="s">
        <v>249</v>
      </c>
      <c r="C131" s="1" t="str">
        <f t="shared" si="6"/>
        <v>lotta</v>
      </c>
      <c r="D131" s="1" t="str">
        <f t="shared" si="7"/>
        <v>rondot</v>
      </c>
      <c r="E131" s="1" t="str">
        <f t="shared" ref="E131:E194" si="8">C131&amp;"."&amp;D131&amp;"@martinus-gymnasium.de"</f>
        <v>lotta.rondot@martinus-gymnasium.de</v>
      </c>
      <c r="F131" t="s">
        <v>254</v>
      </c>
    </row>
    <row r="132" spans="1:6" x14ac:dyDescent="0.2">
      <c r="A132" s="1" t="s">
        <v>152</v>
      </c>
      <c r="B132" s="1" t="s">
        <v>250</v>
      </c>
      <c r="C132" s="1" t="str">
        <f t="shared" si="6"/>
        <v>ida.marie</v>
      </c>
      <c r="D132" s="1" t="str">
        <f t="shared" si="7"/>
        <v>stein</v>
      </c>
      <c r="E132" s="1" t="str">
        <f t="shared" si="8"/>
        <v>ida.marie.stein@martinus-gymnasium.de</v>
      </c>
      <c r="F132" t="s">
        <v>254</v>
      </c>
    </row>
    <row r="133" spans="1:6" x14ac:dyDescent="0.2">
      <c r="A133" s="1" t="s">
        <v>251</v>
      </c>
      <c r="B133" s="1" t="s">
        <v>67</v>
      </c>
      <c r="C133" s="1" t="str">
        <f t="shared" si="6"/>
        <v>jonas</v>
      </c>
      <c r="D133" s="1" t="str">
        <f t="shared" si="7"/>
        <v>waldek</v>
      </c>
      <c r="E133" s="1" t="str">
        <f t="shared" si="8"/>
        <v>jonas.waldek@martinus-gymnasium.de</v>
      </c>
      <c r="F133" t="s">
        <v>254</v>
      </c>
    </row>
    <row r="134" spans="1:6" x14ac:dyDescent="0.2">
      <c r="A134" s="1" t="s">
        <v>252</v>
      </c>
      <c r="B134" s="1" t="s">
        <v>253</v>
      </c>
      <c r="C134" s="1" t="str">
        <f t="shared" si="6"/>
        <v>marius</v>
      </c>
      <c r="D134" s="1" t="str">
        <f t="shared" si="7"/>
        <v>walker</v>
      </c>
      <c r="E134" s="1" t="str">
        <f t="shared" si="8"/>
        <v>marius.walker@martinus-gymnasium.de</v>
      </c>
      <c r="F134" t="s">
        <v>254</v>
      </c>
    </row>
    <row r="135" spans="1:6" x14ac:dyDescent="0.2">
      <c r="A135" s="1" t="s">
        <v>255</v>
      </c>
      <c r="B135" s="1" t="s">
        <v>128</v>
      </c>
      <c r="C135" s="1" t="str">
        <f t="shared" si="6"/>
        <v>mia</v>
      </c>
      <c r="D135" s="1" t="str">
        <f t="shared" si="7"/>
        <v>barth</v>
      </c>
      <c r="E135" s="1" t="str">
        <f t="shared" si="8"/>
        <v>mia.barth@martinus-gymnasium.de</v>
      </c>
      <c r="F135" t="s">
        <v>295</v>
      </c>
    </row>
    <row r="136" spans="1:6" x14ac:dyDescent="0.2">
      <c r="A136" s="1" t="s">
        <v>256</v>
      </c>
      <c r="B136" s="1" t="s">
        <v>257</v>
      </c>
      <c r="C136" s="1" t="str">
        <f t="shared" si="6"/>
        <v>lennox</v>
      </c>
      <c r="D136" s="1" t="str">
        <f t="shared" si="7"/>
        <v>bell</v>
      </c>
      <c r="E136" s="1" t="str">
        <f t="shared" si="8"/>
        <v>lennox.bell@martinus-gymnasium.de</v>
      </c>
      <c r="F136" t="s">
        <v>295</v>
      </c>
    </row>
    <row r="137" spans="1:6" x14ac:dyDescent="0.2">
      <c r="A137" s="1" t="s">
        <v>258</v>
      </c>
      <c r="B137" s="1" t="s">
        <v>259</v>
      </c>
      <c r="C137" s="1" t="str">
        <f t="shared" si="6"/>
        <v>janne</v>
      </c>
      <c r="D137" s="1" t="str">
        <f t="shared" si="7"/>
        <v>blank</v>
      </c>
      <c r="E137" s="1" t="str">
        <f t="shared" si="8"/>
        <v>janne.blank@martinus-gymnasium.de</v>
      </c>
      <c r="F137" t="s">
        <v>295</v>
      </c>
    </row>
    <row r="138" spans="1:6" x14ac:dyDescent="0.2">
      <c r="A138" s="1" t="s">
        <v>260</v>
      </c>
      <c r="B138" s="1" t="s">
        <v>261</v>
      </c>
      <c r="C138" s="1" t="str">
        <f t="shared" si="6"/>
        <v>justus</v>
      </c>
      <c r="D138" s="1" t="str">
        <f t="shared" si="7"/>
        <v>bock</v>
      </c>
      <c r="E138" s="1" t="str">
        <f t="shared" si="8"/>
        <v>justus.bock@martinus-gymnasium.de</v>
      </c>
      <c r="F138" t="s">
        <v>295</v>
      </c>
    </row>
    <row r="139" spans="1:6" x14ac:dyDescent="0.2">
      <c r="A139" s="1" t="s">
        <v>262</v>
      </c>
      <c r="B139" s="1" t="s">
        <v>263</v>
      </c>
      <c r="C139" s="1" t="str">
        <f t="shared" si="6"/>
        <v>kwanchnok</v>
      </c>
      <c r="D139" s="1" t="str">
        <f t="shared" si="7"/>
        <v>chaisree</v>
      </c>
      <c r="E139" s="1" t="str">
        <f t="shared" si="8"/>
        <v>kwanchnok.chaisree@martinus-gymnasium.de</v>
      </c>
      <c r="F139" t="s">
        <v>295</v>
      </c>
    </row>
    <row r="140" spans="1:6" x14ac:dyDescent="0.2">
      <c r="A140" s="1" t="s">
        <v>264</v>
      </c>
      <c r="B140" s="1" t="s">
        <v>265</v>
      </c>
      <c r="C140" s="1" t="str">
        <f t="shared" si="6"/>
        <v>mohammed</v>
      </c>
      <c r="D140" s="1" t="str">
        <f t="shared" si="7"/>
        <v>drehjou</v>
      </c>
      <c r="E140" s="1" t="str">
        <f t="shared" si="8"/>
        <v>mohammed.drehjou@martinus-gymnasium.de</v>
      </c>
      <c r="F140" t="s">
        <v>295</v>
      </c>
    </row>
    <row r="141" spans="1:6" x14ac:dyDescent="0.2">
      <c r="A141" s="1" t="s">
        <v>266</v>
      </c>
      <c r="B141" s="1" t="s">
        <v>267</v>
      </c>
      <c r="C141" s="1" t="str">
        <f t="shared" si="6"/>
        <v>marie.sophie</v>
      </c>
      <c r="D141" s="1" t="str">
        <f t="shared" si="7"/>
        <v>duennes</v>
      </c>
      <c r="E141" s="1" t="str">
        <f t="shared" si="8"/>
        <v>marie.sophie.duennes@martinus-gymnasium.de</v>
      </c>
      <c r="F141" t="s">
        <v>295</v>
      </c>
    </row>
    <row r="142" spans="1:6" x14ac:dyDescent="0.2">
      <c r="A142" s="1" t="s">
        <v>268</v>
      </c>
      <c r="B142" s="1" t="s">
        <v>269</v>
      </c>
      <c r="C142" s="1" t="str">
        <f t="shared" si="6"/>
        <v>christina</v>
      </c>
      <c r="D142" s="1" t="str">
        <f t="shared" si="7"/>
        <v>esch</v>
      </c>
      <c r="E142" s="1" t="str">
        <f t="shared" si="8"/>
        <v>christina.esch@martinus-gymnasium.de</v>
      </c>
      <c r="F142" t="s">
        <v>295</v>
      </c>
    </row>
    <row r="143" spans="1:6" x14ac:dyDescent="0.2">
      <c r="A143" s="1" t="s">
        <v>76</v>
      </c>
      <c r="B143" s="1" t="s">
        <v>270</v>
      </c>
      <c r="C143" s="1" t="str">
        <f t="shared" si="6"/>
        <v>david</v>
      </c>
      <c r="D143" s="1" t="str">
        <f t="shared" si="7"/>
        <v>froembgen</v>
      </c>
      <c r="E143" s="1" t="str">
        <f t="shared" si="8"/>
        <v>david.froembgen@martinus-gymnasium.de</v>
      </c>
      <c r="F143" t="s">
        <v>295</v>
      </c>
    </row>
    <row r="144" spans="1:6" x14ac:dyDescent="0.2">
      <c r="A144" s="1" t="s">
        <v>76</v>
      </c>
      <c r="B144" s="1" t="s">
        <v>136</v>
      </c>
      <c r="C144" s="1" t="str">
        <f t="shared" si="6"/>
        <v>lara</v>
      </c>
      <c r="D144" s="1" t="str">
        <f t="shared" si="7"/>
        <v>froembgen</v>
      </c>
      <c r="E144" s="1" t="str">
        <f t="shared" si="8"/>
        <v>lara.froembgen@martinus-gymnasium.de</v>
      </c>
      <c r="F144" t="s">
        <v>295</v>
      </c>
    </row>
    <row r="145" spans="1:6" x14ac:dyDescent="0.2">
      <c r="A145" s="1" t="s">
        <v>271</v>
      </c>
      <c r="B145" s="1" t="s">
        <v>272</v>
      </c>
      <c r="C145" s="1" t="str">
        <f t="shared" si="6"/>
        <v>loriana</v>
      </c>
      <c r="D145" s="1" t="str">
        <f t="shared" si="7"/>
        <v>gashi</v>
      </c>
      <c r="E145" s="1" t="str">
        <f t="shared" si="8"/>
        <v>loriana.gashi@martinus-gymnasium.de</v>
      </c>
      <c r="F145" t="s">
        <v>295</v>
      </c>
    </row>
    <row r="146" spans="1:6" x14ac:dyDescent="0.2">
      <c r="A146" s="1" t="s">
        <v>273</v>
      </c>
      <c r="B146" s="1" t="s">
        <v>132</v>
      </c>
      <c r="C146" s="1" t="str">
        <f t="shared" si="6"/>
        <v>greta</v>
      </c>
      <c r="D146" s="1" t="str">
        <f t="shared" si="7"/>
        <v>hausen</v>
      </c>
      <c r="E146" s="1" t="str">
        <f t="shared" si="8"/>
        <v>greta.hausen@martinus-gymnasium.de</v>
      </c>
      <c r="F146" t="s">
        <v>295</v>
      </c>
    </row>
    <row r="147" spans="1:6" x14ac:dyDescent="0.2">
      <c r="A147" s="1" t="s">
        <v>274</v>
      </c>
      <c r="B147" s="1" t="s">
        <v>275</v>
      </c>
      <c r="C147" s="1" t="str">
        <f t="shared" si="6"/>
        <v>darija</v>
      </c>
      <c r="D147" s="1" t="str">
        <f t="shared" si="7"/>
        <v>hramov</v>
      </c>
      <c r="E147" s="1" t="str">
        <f t="shared" si="8"/>
        <v>darija.hramov@martinus-gymnasium.de</v>
      </c>
      <c r="F147" t="s">
        <v>295</v>
      </c>
    </row>
    <row r="148" spans="1:6" x14ac:dyDescent="0.2">
      <c r="A148" s="1" t="s">
        <v>276</v>
      </c>
      <c r="B148" s="1" t="s">
        <v>277</v>
      </c>
      <c r="C148" s="1" t="str">
        <f t="shared" si="6"/>
        <v>manuel</v>
      </c>
      <c r="D148" s="1" t="str">
        <f t="shared" si="7"/>
        <v>juette</v>
      </c>
      <c r="E148" s="1" t="str">
        <f t="shared" si="8"/>
        <v>manuel.juette@martinus-gymnasium.de</v>
      </c>
      <c r="F148" t="s">
        <v>295</v>
      </c>
    </row>
    <row r="149" spans="1:6" x14ac:dyDescent="0.2">
      <c r="A149" s="1" t="s">
        <v>278</v>
      </c>
      <c r="B149" s="1" t="s">
        <v>279</v>
      </c>
      <c r="C149" s="1" t="str">
        <f t="shared" si="6"/>
        <v>amir</v>
      </c>
      <c r="D149" s="1" t="str">
        <f t="shared" si="7"/>
        <v>kasapovic</v>
      </c>
      <c r="E149" s="1" t="str">
        <f t="shared" si="8"/>
        <v>amir.kasapovic@martinus-gymnasium.de</v>
      </c>
      <c r="F149" t="s">
        <v>295</v>
      </c>
    </row>
    <row r="150" spans="1:6" x14ac:dyDescent="0.2">
      <c r="A150" s="1" t="s">
        <v>280</v>
      </c>
      <c r="B150" s="1" t="s">
        <v>281</v>
      </c>
      <c r="C150" s="1" t="str">
        <f t="shared" si="6"/>
        <v>jona</v>
      </c>
      <c r="D150" s="1" t="str">
        <f t="shared" si="7"/>
        <v>khazdouzian</v>
      </c>
      <c r="E150" s="1" t="str">
        <f t="shared" si="8"/>
        <v>jona.khazdouzian@martinus-gymnasium.de</v>
      </c>
      <c r="F150" t="s">
        <v>295</v>
      </c>
    </row>
    <row r="151" spans="1:6" x14ac:dyDescent="0.2">
      <c r="A151" s="1" t="s">
        <v>282</v>
      </c>
      <c r="B151" s="1" t="s">
        <v>283</v>
      </c>
      <c r="C151" s="1" t="str">
        <f t="shared" si="6"/>
        <v>charlotte</v>
      </c>
      <c r="D151" s="1" t="str">
        <f t="shared" si="7"/>
        <v>peukert</v>
      </c>
      <c r="E151" s="1" t="str">
        <f t="shared" si="8"/>
        <v>charlotte.peukert@martinus-gymnasium.de</v>
      </c>
      <c r="F151" t="s">
        <v>295</v>
      </c>
    </row>
    <row r="152" spans="1:6" x14ac:dyDescent="0.2">
      <c r="A152" s="1" t="s">
        <v>284</v>
      </c>
      <c r="B152" s="1" t="s">
        <v>285</v>
      </c>
      <c r="C152" s="1" t="str">
        <f t="shared" si="6"/>
        <v>konrad</v>
      </c>
      <c r="D152" s="1" t="str">
        <f t="shared" si="7"/>
        <v>reicke</v>
      </c>
      <c r="E152" s="1" t="str">
        <f t="shared" si="8"/>
        <v>konrad.reicke@martinus-gymnasium.de</v>
      </c>
      <c r="F152" t="s">
        <v>295</v>
      </c>
    </row>
    <row r="153" spans="1:6" x14ac:dyDescent="0.2">
      <c r="A153" s="1" t="s">
        <v>45</v>
      </c>
      <c r="B153" s="1" t="s">
        <v>286</v>
      </c>
      <c r="C153" s="1" t="str">
        <f t="shared" si="6"/>
        <v>lana</v>
      </c>
      <c r="D153" s="1" t="str">
        <f t="shared" si="7"/>
        <v>schmitz</v>
      </c>
      <c r="E153" s="1" t="str">
        <f t="shared" si="8"/>
        <v>lana.schmitz@martinus-gymnasium.de</v>
      </c>
      <c r="F153" t="s">
        <v>295</v>
      </c>
    </row>
    <row r="154" spans="1:6" x14ac:dyDescent="0.2">
      <c r="A154" s="1" t="s">
        <v>287</v>
      </c>
      <c r="B154" s="1" t="s">
        <v>288</v>
      </c>
      <c r="C154" s="1" t="str">
        <f t="shared" si="6"/>
        <v>frieda</v>
      </c>
      <c r="D154" s="1" t="str">
        <f t="shared" si="7"/>
        <v>suelzer</v>
      </c>
      <c r="E154" s="1" t="str">
        <f t="shared" si="8"/>
        <v>frieda.suelzer@martinus-gymnasium.de</v>
      </c>
      <c r="F154" t="s">
        <v>295</v>
      </c>
    </row>
    <row r="155" spans="1:6" x14ac:dyDescent="0.2">
      <c r="A155" s="1" t="s">
        <v>289</v>
      </c>
      <c r="B155" s="1" t="s">
        <v>290</v>
      </c>
      <c r="C155" s="1" t="str">
        <f t="shared" si="6"/>
        <v>josephine</v>
      </c>
      <c r="D155" s="1" t="str">
        <f t="shared" si="7"/>
        <v>wierschem</v>
      </c>
      <c r="E155" s="1" t="str">
        <f t="shared" si="8"/>
        <v>josephine.wierschem@martinus-gymnasium.de</v>
      </c>
      <c r="F155" t="s">
        <v>295</v>
      </c>
    </row>
    <row r="156" spans="1:6" x14ac:dyDescent="0.2">
      <c r="A156" s="1" t="s">
        <v>291</v>
      </c>
      <c r="B156" s="1" t="s">
        <v>233</v>
      </c>
      <c r="C156" s="1" t="str">
        <f t="shared" si="6"/>
        <v>sophia</v>
      </c>
      <c r="D156" s="1" t="str">
        <f t="shared" si="7"/>
        <v>winkler</v>
      </c>
      <c r="E156" s="1" t="str">
        <f t="shared" si="8"/>
        <v>sophia.winkler@martinus-gymnasium.de</v>
      </c>
      <c r="F156" t="s">
        <v>295</v>
      </c>
    </row>
    <row r="157" spans="1:6" x14ac:dyDescent="0.2">
      <c r="A157" s="1" t="s">
        <v>292</v>
      </c>
      <c r="B157" s="1" t="s">
        <v>293</v>
      </c>
      <c r="C157" s="1" t="str">
        <f t="shared" si="6"/>
        <v>takumi</v>
      </c>
      <c r="D157" s="1" t="str">
        <f t="shared" si="7"/>
        <v>zeiler</v>
      </c>
      <c r="E157" s="1" t="str">
        <f t="shared" si="8"/>
        <v>takumi.zeiler@martinus-gymnasium.de</v>
      </c>
      <c r="F157" t="s">
        <v>295</v>
      </c>
    </row>
    <row r="158" spans="1:6" x14ac:dyDescent="0.2">
      <c r="A158" s="1" t="s">
        <v>294</v>
      </c>
      <c r="B158" s="1" t="s">
        <v>78</v>
      </c>
      <c r="C158" s="1" t="str">
        <f t="shared" si="6"/>
        <v>lia</v>
      </c>
      <c r="D158" s="1" t="str">
        <f t="shared" si="7"/>
        <v>zilles</v>
      </c>
      <c r="E158" s="1" t="str">
        <f t="shared" si="8"/>
        <v>lia.zilles@martinus-gymnasium.de</v>
      </c>
      <c r="F158" t="s">
        <v>295</v>
      </c>
    </row>
    <row r="159" spans="1:6" x14ac:dyDescent="0.2">
      <c r="A159" s="1" t="s">
        <v>296</v>
      </c>
      <c r="B159" s="1" t="s">
        <v>297</v>
      </c>
      <c r="C159" s="1" t="str">
        <f t="shared" si="6"/>
        <v>ibrahim</v>
      </c>
      <c r="D159" s="1" t="str">
        <f t="shared" si="7"/>
        <v>alabdullah</v>
      </c>
      <c r="E159" s="1" t="str">
        <f t="shared" si="8"/>
        <v>ibrahim.alabdullah@martinus-gymnasium.de</v>
      </c>
      <c r="F159" t="s">
        <v>337</v>
      </c>
    </row>
    <row r="160" spans="1:6" x14ac:dyDescent="0.2">
      <c r="A160" s="1" t="s">
        <v>298</v>
      </c>
      <c r="B160" s="1" t="s">
        <v>299</v>
      </c>
      <c r="C160" s="1" t="str">
        <f t="shared" si="6"/>
        <v>emma</v>
      </c>
      <c r="D160" s="1" t="str">
        <f t="shared" si="7"/>
        <v>asteroth</v>
      </c>
      <c r="E160" s="1" t="str">
        <f t="shared" si="8"/>
        <v>emma.asteroth@martinus-gymnasium.de</v>
      </c>
      <c r="F160" t="s">
        <v>337</v>
      </c>
    </row>
    <row r="161" spans="1:6" x14ac:dyDescent="0.2">
      <c r="A161" s="1" t="s">
        <v>300</v>
      </c>
      <c r="B161" s="1" t="s">
        <v>301</v>
      </c>
      <c r="C161" s="1" t="str">
        <f t="shared" si="6"/>
        <v>ardit</v>
      </c>
      <c r="D161" s="1" t="str">
        <f t="shared" si="7"/>
        <v>avdiu</v>
      </c>
      <c r="E161" s="1" t="str">
        <f t="shared" si="8"/>
        <v>ardit.avdiu@martinus-gymnasium.de</v>
      </c>
      <c r="F161" t="s">
        <v>337</v>
      </c>
    </row>
    <row r="162" spans="1:6" x14ac:dyDescent="0.2">
      <c r="A162" s="1" t="s">
        <v>302</v>
      </c>
      <c r="B162" s="1" t="s">
        <v>303</v>
      </c>
      <c r="C162" s="1" t="str">
        <f t="shared" si="6"/>
        <v>melika</v>
      </c>
      <c r="D162" s="1" t="str">
        <f t="shared" si="7"/>
        <v>baqeri</v>
      </c>
      <c r="E162" s="1" t="str">
        <f t="shared" si="8"/>
        <v>melika.baqeri@martinus-gymnasium.de</v>
      </c>
      <c r="F162" t="s">
        <v>337</v>
      </c>
    </row>
    <row r="163" spans="1:6" x14ac:dyDescent="0.2">
      <c r="A163" s="1" t="s">
        <v>304</v>
      </c>
      <c r="B163" s="1" t="s">
        <v>305</v>
      </c>
      <c r="C163" s="1" t="str">
        <f t="shared" si="6"/>
        <v>rina</v>
      </c>
      <c r="D163" s="1" t="str">
        <f t="shared" si="7"/>
        <v>boshtraj</v>
      </c>
      <c r="E163" s="1" t="str">
        <f t="shared" si="8"/>
        <v>rina.boshtraj@martinus-gymnasium.de</v>
      </c>
      <c r="F163" t="s">
        <v>337</v>
      </c>
    </row>
    <row r="164" spans="1:6" x14ac:dyDescent="0.2">
      <c r="A164" s="1" t="s">
        <v>306</v>
      </c>
      <c r="B164" s="1" t="s">
        <v>307</v>
      </c>
      <c r="C164" s="1" t="str">
        <f t="shared" si="6"/>
        <v>nico</v>
      </c>
      <c r="D164" s="1" t="str">
        <f t="shared" si="7"/>
        <v>braun</v>
      </c>
      <c r="E164" s="1" t="str">
        <f t="shared" si="8"/>
        <v>nico.braun@martinus-gymnasium.de</v>
      </c>
      <c r="F164" t="s">
        <v>337</v>
      </c>
    </row>
    <row r="165" spans="1:6" x14ac:dyDescent="0.2">
      <c r="A165" s="1" t="s">
        <v>308</v>
      </c>
      <c r="B165" s="1" t="s">
        <v>309</v>
      </c>
      <c r="C165" s="1" t="str">
        <f t="shared" si="6"/>
        <v>leon</v>
      </c>
      <c r="D165" s="1" t="str">
        <f t="shared" si="7"/>
        <v>bunjaku</v>
      </c>
      <c r="E165" s="1" t="str">
        <f t="shared" si="8"/>
        <v>leon.bunjaku@martinus-gymnasium.de</v>
      </c>
      <c r="F165" t="s">
        <v>337</v>
      </c>
    </row>
    <row r="166" spans="1:6" x14ac:dyDescent="0.2">
      <c r="A166" s="1" t="s">
        <v>310</v>
      </c>
      <c r="B166" s="1" t="s">
        <v>311</v>
      </c>
      <c r="C166" s="1" t="str">
        <f t="shared" si="6"/>
        <v>hakan</v>
      </c>
      <c r="D166" s="1" t="str">
        <f t="shared" si="7"/>
        <v>kes</v>
      </c>
      <c r="E166" s="1" t="str">
        <f t="shared" si="8"/>
        <v>hakan.kes@martinus-gymnasium.de</v>
      </c>
      <c r="F166" t="s">
        <v>337</v>
      </c>
    </row>
    <row r="167" spans="1:6" x14ac:dyDescent="0.2">
      <c r="A167" s="1" t="s">
        <v>312</v>
      </c>
      <c r="B167" s="1" t="s">
        <v>313</v>
      </c>
      <c r="C167" s="1" t="str">
        <f t="shared" si="6"/>
        <v>arsela</v>
      </c>
      <c r="D167" s="1" t="str">
        <f t="shared" si="7"/>
        <v>kopaci</v>
      </c>
      <c r="E167" s="1" t="str">
        <f t="shared" si="8"/>
        <v>arsela.kopaci@martinus-gymnasium.de</v>
      </c>
      <c r="F167" t="s">
        <v>337</v>
      </c>
    </row>
    <row r="168" spans="1:6" x14ac:dyDescent="0.2">
      <c r="A168" s="1" t="s">
        <v>35</v>
      </c>
      <c r="B168" s="1" t="s">
        <v>136</v>
      </c>
      <c r="C168" s="1" t="str">
        <f t="shared" si="6"/>
        <v>lara</v>
      </c>
      <c r="D168" s="1" t="str">
        <f t="shared" si="7"/>
        <v>krueger</v>
      </c>
      <c r="E168" s="1" t="str">
        <f t="shared" si="8"/>
        <v>lara.krueger@martinus-gymnasium.de</v>
      </c>
      <c r="F168" t="s">
        <v>337</v>
      </c>
    </row>
    <row r="169" spans="1:6" x14ac:dyDescent="0.2">
      <c r="A169" s="1" t="s">
        <v>230</v>
      </c>
      <c r="B169" s="1" t="s">
        <v>314</v>
      </c>
      <c r="C169" s="1" t="str">
        <f t="shared" si="6"/>
        <v>olivia</v>
      </c>
      <c r="D169" s="1" t="str">
        <f t="shared" si="7"/>
        <v>lange</v>
      </c>
      <c r="E169" s="1" t="str">
        <f t="shared" si="8"/>
        <v>olivia.lange@martinus-gymnasium.de</v>
      </c>
      <c r="F169" t="s">
        <v>337</v>
      </c>
    </row>
    <row r="170" spans="1:6" x14ac:dyDescent="0.2">
      <c r="A170" s="1" t="s">
        <v>315</v>
      </c>
      <c r="B170" s="1" t="s">
        <v>122</v>
      </c>
      <c r="C170" s="1" t="str">
        <f t="shared" si="6"/>
        <v>lena</v>
      </c>
      <c r="D170" s="1" t="str">
        <f t="shared" si="7"/>
        <v>laumann</v>
      </c>
      <c r="E170" s="1" t="str">
        <f t="shared" si="8"/>
        <v>lena.laumann@martinus-gymnasium.de</v>
      </c>
      <c r="F170" t="s">
        <v>337</v>
      </c>
    </row>
    <row r="171" spans="1:6" x14ac:dyDescent="0.2">
      <c r="A171" s="1" t="s">
        <v>316</v>
      </c>
      <c r="B171" s="1" t="s">
        <v>317</v>
      </c>
      <c r="C171" s="1" t="str">
        <f t="shared" si="6"/>
        <v>yussuf</v>
      </c>
      <c r="D171" s="1" t="str">
        <f t="shared" si="7"/>
        <v>mohammedali</v>
      </c>
      <c r="E171" s="1" t="str">
        <f t="shared" si="8"/>
        <v>yussuf.mohammedali@martinus-gymnasium.de</v>
      </c>
      <c r="F171" t="s">
        <v>337</v>
      </c>
    </row>
    <row r="172" spans="1:6" x14ac:dyDescent="0.2">
      <c r="A172" s="1" t="s">
        <v>318</v>
      </c>
      <c r="B172" s="1" t="s">
        <v>319</v>
      </c>
      <c r="C172" s="1" t="str">
        <f t="shared" si="6"/>
        <v>samia</v>
      </c>
      <c r="D172" s="1" t="str">
        <f t="shared" si="7"/>
        <v>paschke</v>
      </c>
      <c r="E172" s="1" t="str">
        <f t="shared" si="8"/>
        <v>samia.paschke@martinus-gymnasium.de</v>
      </c>
      <c r="F172" t="s">
        <v>337</v>
      </c>
    </row>
    <row r="173" spans="1:6" x14ac:dyDescent="0.2">
      <c r="A173" s="1" t="s">
        <v>320</v>
      </c>
      <c r="B173" s="1" t="s">
        <v>321</v>
      </c>
      <c r="C173" s="1" t="str">
        <f t="shared" si="6"/>
        <v>mahrael</v>
      </c>
      <c r="D173" s="1" t="str">
        <f t="shared" si="7"/>
        <v>samaan</v>
      </c>
      <c r="E173" s="1" t="str">
        <f t="shared" si="8"/>
        <v>mahrael.samaan@martinus-gymnasium.de</v>
      </c>
      <c r="F173" t="s">
        <v>337</v>
      </c>
    </row>
    <row r="174" spans="1:6" x14ac:dyDescent="0.2">
      <c r="A174" s="1" t="s">
        <v>322</v>
      </c>
      <c r="B174" s="1" t="s">
        <v>323</v>
      </c>
      <c r="C174" s="1" t="str">
        <f t="shared" si="6"/>
        <v>florian</v>
      </c>
      <c r="D174" s="1" t="str">
        <f t="shared" si="7"/>
        <v>sartor</v>
      </c>
      <c r="E174" s="1" t="str">
        <f t="shared" si="8"/>
        <v>florian.sartor@martinus-gymnasium.de</v>
      </c>
      <c r="F174" t="s">
        <v>337</v>
      </c>
    </row>
    <row r="175" spans="1:6" x14ac:dyDescent="0.2">
      <c r="A175" s="1" t="s">
        <v>324</v>
      </c>
      <c r="B175" s="1" t="s">
        <v>325</v>
      </c>
      <c r="C175" s="1" t="str">
        <f t="shared" si="6"/>
        <v>carlotta</v>
      </c>
      <c r="D175" s="1" t="str">
        <f t="shared" si="7"/>
        <v>schaefer</v>
      </c>
      <c r="E175" s="1" t="str">
        <f t="shared" si="8"/>
        <v>carlotta.schaefer@martinus-gymnasium.de</v>
      </c>
      <c r="F175" t="s">
        <v>337</v>
      </c>
    </row>
    <row r="176" spans="1:6" x14ac:dyDescent="0.2">
      <c r="A176" s="1" t="s">
        <v>47</v>
      </c>
      <c r="B176" s="1" t="s">
        <v>326</v>
      </c>
      <c r="C176" s="1" t="str">
        <f t="shared" si="6"/>
        <v>mara</v>
      </c>
      <c r="D176" s="1" t="str">
        <f t="shared" si="7"/>
        <v>schneider</v>
      </c>
      <c r="E176" s="1" t="str">
        <f t="shared" si="8"/>
        <v>mara.schneider@martinus-gymnasium.de</v>
      </c>
      <c r="F176" t="s">
        <v>337</v>
      </c>
    </row>
    <row r="177" spans="1:6" x14ac:dyDescent="0.2">
      <c r="A177" s="1" t="s">
        <v>327</v>
      </c>
      <c r="B177" s="1" t="s">
        <v>219</v>
      </c>
      <c r="C177" s="1" t="str">
        <f t="shared" si="6"/>
        <v>felix</v>
      </c>
      <c r="D177" s="1" t="str">
        <f t="shared" si="7"/>
        <v>schuette</v>
      </c>
      <c r="E177" s="1" t="str">
        <f t="shared" si="8"/>
        <v>felix.schuette@martinus-gymnasium.de</v>
      </c>
      <c r="F177" t="s">
        <v>337</v>
      </c>
    </row>
    <row r="178" spans="1:6" x14ac:dyDescent="0.2">
      <c r="A178" s="1" t="s">
        <v>328</v>
      </c>
      <c r="B178" s="1" t="s">
        <v>329</v>
      </c>
      <c r="C178" s="1" t="str">
        <f t="shared" si="6"/>
        <v>kutan</v>
      </c>
      <c r="D178" s="1" t="str">
        <f t="shared" si="7"/>
        <v>solak</v>
      </c>
      <c r="E178" s="1" t="str">
        <f t="shared" si="8"/>
        <v>kutan.solak@martinus-gymnasium.de</v>
      </c>
      <c r="F178" t="s">
        <v>337</v>
      </c>
    </row>
    <row r="179" spans="1:6" x14ac:dyDescent="0.2">
      <c r="A179" s="1" t="s">
        <v>330</v>
      </c>
      <c r="B179" s="1" t="s">
        <v>331</v>
      </c>
      <c r="C179" s="1" t="str">
        <f t="shared" si="6"/>
        <v>raphaela</v>
      </c>
      <c r="D179" s="1" t="str">
        <f t="shared" si="7"/>
        <v>strauss</v>
      </c>
      <c r="E179" s="1" t="str">
        <f t="shared" si="8"/>
        <v>raphaela.strauss@martinus-gymnasium.de</v>
      </c>
      <c r="F179" t="s">
        <v>337</v>
      </c>
    </row>
    <row r="180" spans="1:6" x14ac:dyDescent="0.2">
      <c r="A180" s="1" t="s">
        <v>332</v>
      </c>
      <c r="B180" s="1" t="s">
        <v>333</v>
      </c>
      <c r="C180" s="1" t="str">
        <f t="shared" si="6"/>
        <v>oleksandra</v>
      </c>
      <c r="D180" s="1" t="str">
        <f t="shared" si="7"/>
        <v>temna</v>
      </c>
      <c r="E180" s="1" t="str">
        <f t="shared" si="8"/>
        <v>oleksandra.temna@martinus-gymnasium.de</v>
      </c>
      <c r="F180" t="s">
        <v>337</v>
      </c>
    </row>
    <row r="181" spans="1:6" x14ac:dyDescent="0.2">
      <c r="A181" s="1" t="s">
        <v>334</v>
      </c>
      <c r="B181" s="1" t="s">
        <v>335</v>
      </c>
      <c r="C181" s="1" t="str">
        <f t="shared" si="6"/>
        <v>leandra</v>
      </c>
      <c r="D181" s="1" t="str">
        <f t="shared" si="7"/>
        <v>tsanaktsidis</v>
      </c>
      <c r="E181" s="1" t="str">
        <f t="shared" si="8"/>
        <v>leandra.tsanaktsidis@martinus-gymnasium.de</v>
      </c>
      <c r="F181" t="s">
        <v>337</v>
      </c>
    </row>
    <row r="182" spans="1:6" x14ac:dyDescent="0.2">
      <c r="A182" s="1" t="s">
        <v>207</v>
      </c>
      <c r="B182" s="1" t="s">
        <v>336</v>
      </c>
      <c r="C182" s="1" t="str">
        <f t="shared" si="6"/>
        <v>johann</v>
      </c>
      <c r="D182" s="1" t="str">
        <f t="shared" si="7"/>
        <v>zimmermann</v>
      </c>
      <c r="E182" s="1" t="str">
        <f t="shared" si="8"/>
        <v>johann.zimmermann@martinus-gymnasium.de</v>
      </c>
      <c r="F182" t="s">
        <v>337</v>
      </c>
    </row>
    <row r="183" spans="1:6" x14ac:dyDescent="0.2">
      <c r="A183" s="1" t="s">
        <v>338</v>
      </c>
      <c r="B183" s="1" t="s">
        <v>339</v>
      </c>
      <c r="C183" s="1" t="str">
        <f t="shared" si="6"/>
        <v>andreas</v>
      </c>
      <c r="D183" s="1" t="str">
        <f t="shared" si="7"/>
        <v>antal</v>
      </c>
      <c r="E183" s="1" t="str">
        <f t="shared" si="8"/>
        <v>andreas.antal@martinus-gymnasium.de</v>
      </c>
      <c r="F183" t="s">
        <v>373</v>
      </c>
    </row>
    <row r="184" spans="1:6" x14ac:dyDescent="0.2">
      <c r="A184" s="1" t="s">
        <v>340</v>
      </c>
      <c r="B184" s="1" t="s">
        <v>341</v>
      </c>
      <c r="C184" s="1" t="str">
        <f t="shared" si="6"/>
        <v>merlin</v>
      </c>
      <c r="D184" s="1" t="str">
        <f t="shared" si="7"/>
        <v>arend</v>
      </c>
      <c r="E184" s="1" t="str">
        <f t="shared" si="8"/>
        <v>merlin.arend@martinus-gymnasium.de</v>
      </c>
      <c r="F184" t="s">
        <v>373</v>
      </c>
    </row>
    <row r="185" spans="1:6" x14ac:dyDescent="0.2">
      <c r="A185" s="1" t="s">
        <v>342</v>
      </c>
      <c r="B185" s="1" t="s">
        <v>343</v>
      </c>
      <c r="C185" s="1" t="str">
        <f t="shared" si="6"/>
        <v>esmeray</v>
      </c>
      <c r="D185" s="1" t="str">
        <f t="shared" si="7"/>
        <v>ceylan</v>
      </c>
      <c r="E185" s="1" t="str">
        <f t="shared" si="8"/>
        <v>esmeray.ceylan@martinus-gymnasium.de</v>
      </c>
      <c r="F185" t="s">
        <v>373</v>
      </c>
    </row>
    <row r="186" spans="1:6" x14ac:dyDescent="0.2">
      <c r="A186" s="1" t="s">
        <v>72</v>
      </c>
      <c r="B186" s="1" t="s">
        <v>179</v>
      </c>
      <c r="C186" s="1" t="str">
        <f t="shared" si="6"/>
        <v>ronja</v>
      </c>
      <c r="D186" s="1" t="str">
        <f t="shared" si="7"/>
        <v>duijvekam</v>
      </c>
      <c r="E186" s="1" t="str">
        <f t="shared" si="8"/>
        <v>ronja.duijvekam@martinus-gymnasium.de</v>
      </c>
      <c r="F186" t="s">
        <v>373</v>
      </c>
    </row>
    <row r="187" spans="1:6" x14ac:dyDescent="0.2">
      <c r="A187" s="1" t="s">
        <v>344</v>
      </c>
      <c r="B187" s="1" t="s">
        <v>345</v>
      </c>
      <c r="C187" s="1" t="str">
        <f t="shared" si="6"/>
        <v>elin</v>
      </c>
      <c r="D187" s="1" t="str">
        <f t="shared" si="7"/>
        <v>enns</v>
      </c>
      <c r="E187" s="1" t="str">
        <f t="shared" si="8"/>
        <v>elin.enns@martinus-gymnasium.de</v>
      </c>
      <c r="F187" t="s">
        <v>373</v>
      </c>
    </row>
    <row r="188" spans="1:6" x14ac:dyDescent="0.2">
      <c r="A188" s="1" t="s">
        <v>346</v>
      </c>
      <c r="B188" s="1" t="s">
        <v>347</v>
      </c>
      <c r="C188" s="1" t="str">
        <f t="shared" ref="C188:C248" si="9">LOWER(SUBSTITUTE(SUBSTITUTE(SUBSTITUTE(SUBSTITUTE(SUBSTITUTE(SUBSTITUTE(SUBSTITUTE(SUBSTITUTE(SUBSTITUTE(SUBSTITUTE(SUBSTITUTE(B188," ","."),"-","."),"ä","ae"),"ö","oe"),"ü","ue"),"ß","ss"),"é","e"),"ú","u"),"á","a"),"Ł","L"),"ł","l"))</f>
        <v>lorin.su</v>
      </c>
      <c r="D188" s="1" t="str">
        <f t="shared" ref="D188:D248" si="10">LOWER(SUBSTITUTE(SUBSTITUTE(SUBSTITUTE(SUBSTITUTE(SUBSTITUTE(SUBSTITUTE(SUBSTITUTE(SUBSTITUTE(SUBSTITUTE(SUBSTITUTE(SUBSTITUTE(A188," ","."),"-","."),"ä","ae"),"ö","oe"),"ü","ue"),"ß","ss"),"é","e"),"ú","u"),"á","a"),"Ł","L"),"ł","l"))</f>
        <v>ergin</v>
      </c>
      <c r="E188" s="1" t="str">
        <f t="shared" si="8"/>
        <v>lorin.su.ergin@martinus-gymnasium.de</v>
      </c>
      <c r="F188" t="s">
        <v>373</v>
      </c>
    </row>
    <row r="189" spans="1:6" x14ac:dyDescent="0.2">
      <c r="A189" s="1" t="s">
        <v>348</v>
      </c>
      <c r="B189" s="1" t="s">
        <v>299</v>
      </c>
      <c r="C189" s="1" t="str">
        <f t="shared" si="9"/>
        <v>emma</v>
      </c>
      <c r="D189" s="1" t="str">
        <f t="shared" si="10"/>
        <v>hirzmann</v>
      </c>
      <c r="E189" s="1" t="str">
        <f t="shared" si="8"/>
        <v>emma.hirzmann@martinus-gymnasium.de</v>
      </c>
      <c r="F189" t="s">
        <v>373</v>
      </c>
    </row>
    <row r="190" spans="1:6" x14ac:dyDescent="0.2">
      <c r="A190" s="1" t="s">
        <v>349</v>
      </c>
      <c r="B190" s="1" t="s">
        <v>350</v>
      </c>
      <c r="C190" s="1" t="str">
        <f t="shared" si="9"/>
        <v>niklas</v>
      </c>
      <c r="D190" s="1" t="str">
        <f t="shared" si="10"/>
        <v>hoss</v>
      </c>
      <c r="E190" s="1" t="str">
        <f t="shared" si="8"/>
        <v>niklas.hoss@martinus-gymnasium.de</v>
      </c>
      <c r="F190" t="s">
        <v>373</v>
      </c>
    </row>
    <row r="191" spans="1:6" x14ac:dyDescent="0.2">
      <c r="A191" s="1" t="s">
        <v>351</v>
      </c>
      <c r="B191" s="1" t="s">
        <v>352</v>
      </c>
      <c r="C191" s="1" t="str">
        <f t="shared" si="9"/>
        <v>lisa</v>
      </c>
      <c r="D191" s="1" t="str">
        <f t="shared" si="10"/>
        <v>kaminski</v>
      </c>
      <c r="E191" s="1" t="str">
        <f t="shared" si="8"/>
        <v>lisa.kaminski@martinus-gymnasium.de</v>
      </c>
      <c r="F191" t="s">
        <v>373</v>
      </c>
    </row>
    <row r="192" spans="1:6" x14ac:dyDescent="0.2">
      <c r="A192" s="1" t="s">
        <v>353</v>
      </c>
      <c r="B192" s="1" t="s">
        <v>138</v>
      </c>
      <c r="C192" s="1" t="str">
        <f t="shared" si="9"/>
        <v>luca</v>
      </c>
      <c r="D192" s="1" t="str">
        <f t="shared" si="10"/>
        <v>kamp</v>
      </c>
      <c r="E192" s="1" t="str">
        <f t="shared" si="8"/>
        <v>luca.kamp@martinus-gymnasium.de</v>
      </c>
      <c r="F192" t="s">
        <v>373</v>
      </c>
    </row>
    <row r="193" spans="1:6" x14ac:dyDescent="0.2">
      <c r="A193" s="1" t="s">
        <v>354</v>
      </c>
      <c r="B193" s="1" t="s">
        <v>355</v>
      </c>
      <c r="C193" s="1" t="str">
        <f t="shared" si="9"/>
        <v>alexander</v>
      </c>
      <c r="D193" s="1" t="str">
        <f t="shared" si="10"/>
        <v>klingenberger</v>
      </c>
      <c r="E193" s="1" t="str">
        <f t="shared" si="8"/>
        <v>alexander.klingenberger@martinus-gymnasium.de</v>
      </c>
      <c r="F193" t="s">
        <v>373</v>
      </c>
    </row>
    <row r="194" spans="1:6" x14ac:dyDescent="0.2">
      <c r="A194" s="1" t="s">
        <v>356</v>
      </c>
      <c r="B194" s="1" t="s">
        <v>138</v>
      </c>
      <c r="C194" s="1" t="str">
        <f t="shared" si="9"/>
        <v>luca</v>
      </c>
      <c r="D194" s="1" t="str">
        <f t="shared" si="10"/>
        <v>koll</v>
      </c>
      <c r="E194" s="1" t="str">
        <f t="shared" si="8"/>
        <v>luca.koll@martinus-gymnasium.de</v>
      </c>
      <c r="F194" t="s">
        <v>373</v>
      </c>
    </row>
    <row r="195" spans="1:6" x14ac:dyDescent="0.2">
      <c r="A195" s="1" t="s">
        <v>357</v>
      </c>
      <c r="B195" s="1" t="s">
        <v>358</v>
      </c>
      <c r="C195" s="1" t="str">
        <f t="shared" si="9"/>
        <v>lenja</v>
      </c>
      <c r="D195" s="1" t="str">
        <f t="shared" si="10"/>
        <v>kreutzmann</v>
      </c>
      <c r="E195" s="1" t="str">
        <f t="shared" ref="E195:E258" si="11">C195&amp;"."&amp;D195&amp;"@martinus-gymnasium.de"</f>
        <v>lenja.kreutzmann@martinus-gymnasium.de</v>
      </c>
      <c r="F195" t="s">
        <v>373</v>
      </c>
    </row>
    <row r="196" spans="1:6" x14ac:dyDescent="0.2">
      <c r="A196" s="1" t="s">
        <v>359</v>
      </c>
      <c r="B196" s="1" t="s">
        <v>360</v>
      </c>
      <c r="C196" s="1" t="str">
        <f t="shared" si="9"/>
        <v>moritz</v>
      </c>
      <c r="D196" s="1" t="str">
        <f t="shared" si="10"/>
        <v>kuntze</v>
      </c>
      <c r="E196" s="1" t="str">
        <f t="shared" si="11"/>
        <v>moritz.kuntze@martinus-gymnasium.de</v>
      </c>
      <c r="F196" t="s">
        <v>373</v>
      </c>
    </row>
    <row r="197" spans="1:6" x14ac:dyDescent="0.2">
      <c r="A197" s="1" t="s">
        <v>361</v>
      </c>
      <c r="B197" s="1" t="s">
        <v>286</v>
      </c>
      <c r="C197" s="1" t="str">
        <f t="shared" si="9"/>
        <v>lana</v>
      </c>
      <c r="D197" s="1" t="str">
        <f t="shared" si="10"/>
        <v>labonde</v>
      </c>
      <c r="E197" s="1" t="str">
        <f t="shared" si="11"/>
        <v>lana.labonde@martinus-gymnasium.de</v>
      </c>
      <c r="F197" t="s">
        <v>373</v>
      </c>
    </row>
    <row r="198" spans="1:6" x14ac:dyDescent="0.2">
      <c r="A198" s="1" t="s">
        <v>139</v>
      </c>
      <c r="B198" s="1" t="s">
        <v>362</v>
      </c>
      <c r="C198" s="1" t="str">
        <f t="shared" si="9"/>
        <v>anna</v>
      </c>
      <c r="D198" s="1" t="str">
        <f t="shared" si="10"/>
        <v>le</v>
      </c>
      <c r="E198" s="1" t="str">
        <f t="shared" si="11"/>
        <v>anna.le@martinus-gymnasium.de</v>
      </c>
      <c r="F198" t="s">
        <v>373</v>
      </c>
    </row>
    <row r="199" spans="1:6" x14ac:dyDescent="0.2">
      <c r="A199" s="1" t="s">
        <v>363</v>
      </c>
      <c r="B199" s="1" t="s">
        <v>364</v>
      </c>
      <c r="C199" s="1" t="str">
        <f t="shared" si="9"/>
        <v>vladyslav</v>
      </c>
      <c r="D199" s="1" t="str">
        <f t="shared" si="10"/>
        <v>pochynok</v>
      </c>
      <c r="E199" s="1" t="str">
        <f t="shared" si="11"/>
        <v>vladyslav.pochynok@martinus-gymnasium.de</v>
      </c>
      <c r="F199" t="s">
        <v>373</v>
      </c>
    </row>
    <row r="200" spans="1:6" x14ac:dyDescent="0.2">
      <c r="A200" s="1" t="s">
        <v>365</v>
      </c>
      <c r="B200" s="1" t="s">
        <v>366</v>
      </c>
      <c r="C200" s="1" t="str">
        <f t="shared" si="9"/>
        <v>leah</v>
      </c>
      <c r="D200" s="1" t="str">
        <f t="shared" si="10"/>
        <v>schinabeck</v>
      </c>
      <c r="E200" s="1" t="str">
        <f t="shared" si="11"/>
        <v>leah.schinabeck@martinus-gymnasium.de</v>
      </c>
      <c r="F200" t="s">
        <v>373</v>
      </c>
    </row>
    <row r="201" spans="1:6" x14ac:dyDescent="0.2">
      <c r="A201" s="1" t="s">
        <v>367</v>
      </c>
      <c r="B201" s="1" t="s">
        <v>368</v>
      </c>
      <c r="C201" s="1" t="str">
        <f t="shared" si="9"/>
        <v>magdalena.karin.marie</v>
      </c>
      <c r="D201" s="1" t="str">
        <f t="shared" si="10"/>
        <v>spitzer</v>
      </c>
      <c r="E201" s="1" t="str">
        <f t="shared" si="11"/>
        <v>magdalena.karin.marie.spitzer@martinus-gymnasium.de</v>
      </c>
      <c r="F201" t="s">
        <v>373</v>
      </c>
    </row>
    <row r="202" spans="1:6" x14ac:dyDescent="0.2">
      <c r="A202" s="1" t="s">
        <v>369</v>
      </c>
      <c r="B202" s="1" t="s">
        <v>370</v>
      </c>
      <c r="C202" s="1" t="str">
        <f t="shared" si="9"/>
        <v>uliana</v>
      </c>
      <c r="D202" s="1" t="str">
        <f t="shared" si="10"/>
        <v>sydorzhewski</v>
      </c>
      <c r="E202" s="1" t="str">
        <f t="shared" si="11"/>
        <v>uliana.sydorzhewski@martinus-gymnasium.de</v>
      </c>
      <c r="F202" t="s">
        <v>373</v>
      </c>
    </row>
    <row r="203" spans="1:6" x14ac:dyDescent="0.2">
      <c r="A203" s="1" t="s">
        <v>371</v>
      </c>
      <c r="B203" s="1" t="s">
        <v>372</v>
      </c>
      <c r="C203" s="1" t="str">
        <f t="shared" si="9"/>
        <v>coco</v>
      </c>
      <c r="D203" s="1" t="str">
        <f t="shared" si="10"/>
        <v>von.almen</v>
      </c>
      <c r="E203" s="1" t="str">
        <f t="shared" si="11"/>
        <v>coco.von.almen@martinus-gymnasium.de</v>
      </c>
      <c r="F203" t="s">
        <v>373</v>
      </c>
    </row>
    <row r="204" spans="1:6" x14ac:dyDescent="0.2">
      <c r="A204" s="1" t="s">
        <v>374</v>
      </c>
      <c r="B204" s="1" t="s">
        <v>375</v>
      </c>
      <c r="C204" s="1" t="str">
        <f t="shared" si="9"/>
        <v>friedrich</v>
      </c>
      <c r="D204" s="1" t="str">
        <f t="shared" si="10"/>
        <v>becker</v>
      </c>
      <c r="E204" s="1" t="str">
        <f t="shared" si="11"/>
        <v>friedrich.becker@martinus-gymnasium.de</v>
      </c>
      <c r="F204" t="s">
        <v>406</v>
      </c>
    </row>
    <row r="205" spans="1:6" x14ac:dyDescent="0.2">
      <c r="A205" s="1" t="s">
        <v>376</v>
      </c>
      <c r="B205" s="1" t="s">
        <v>217</v>
      </c>
      <c r="C205" s="1" t="str">
        <f t="shared" si="9"/>
        <v>samuel</v>
      </c>
      <c r="D205" s="1" t="str">
        <f t="shared" si="10"/>
        <v>blaschczok</v>
      </c>
      <c r="E205" s="1" t="str">
        <f t="shared" si="11"/>
        <v>samuel.blaschczok@martinus-gymnasium.de</v>
      </c>
      <c r="F205" t="s">
        <v>406</v>
      </c>
    </row>
    <row r="206" spans="1:6" x14ac:dyDescent="0.2">
      <c r="A206" s="1" t="s">
        <v>377</v>
      </c>
      <c r="B206" s="1" t="s">
        <v>136</v>
      </c>
      <c r="C206" s="1" t="str">
        <f t="shared" si="9"/>
        <v>lara</v>
      </c>
      <c r="D206" s="1" t="str">
        <f t="shared" si="10"/>
        <v>boeker</v>
      </c>
      <c r="E206" s="1" t="str">
        <f t="shared" si="11"/>
        <v>lara.boeker@martinus-gymnasium.de</v>
      </c>
      <c r="F206" t="s">
        <v>406</v>
      </c>
    </row>
    <row r="207" spans="1:6" x14ac:dyDescent="0.2">
      <c r="A207" s="1" t="s">
        <v>378</v>
      </c>
      <c r="B207" s="1" t="s">
        <v>379</v>
      </c>
      <c r="C207" s="1" t="str">
        <f t="shared" si="9"/>
        <v>rozerin</v>
      </c>
      <c r="D207" s="1" t="str">
        <f t="shared" si="10"/>
        <v>dogan</v>
      </c>
      <c r="E207" s="1" t="str">
        <f t="shared" si="11"/>
        <v>rozerin.dogan@martinus-gymnasium.de</v>
      </c>
      <c r="F207" t="s">
        <v>406</v>
      </c>
    </row>
    <row r="208" spans="1:6" x14ac:dyDescent="0.2">
      <c r="A208" s="1" t="s">
        <v>380</v>
      </c>
      <c r="B208" s="1" t="s">
        <v>381</v>
      </c>
      <c r="C208" s="1" t="str">
        <f t="shared" si="9"/>
        <v>suri</v>
      </c>
      <c r="D208" s="1" t="str">
        <f t="shared" si="10"/>
        <v>emmerich</v>
      </c>
      <c r="E208" s="1" t="str">
        <f t="shared" si="11"/>
        <v>suri.emmerich@martinus-gymnasium.de</v>
      </c>
      <c r="F208" t="s">
        <v>406</v>
      </c>
    </row>
    <row r="209" spans="1:6" x14ac:dyDescent="0.2">
      <c r="A209" s="1" t="s">
        <v>382</v>
      </c>
      <c r="B209" s="1" t="s">
        <v>383</v>
      </c>
      <c r="C209" s="1" t="str">
        <f t="shared" si="9"/>
        <v>jack</v>
      </c>
      <c r="D209" s="1" t="str">
        <f t="shared" si="10"/>
        <v>fischer</v>
      </c>
      <c r="E209" s="1" t="str">
        <f t="shared" si="11"/>
        <v>jack.fischer@martinus-gymnasium.de</v>
      </c>
      <c r="F209" t="s">
        <v>406</v>
      </c>
    </row>
    <row r="210" spans="1:6" x14ac:dyDescent="0.2">
      <c r="A210" s="1" t="s">
        <v>384</v>
      </c>
      <c r="B210" s="1" t="s">
        <v>10</v>
      </c>
      <c r="C210" s="1" t="str">
        <f t="shared" si="9"/>
        <v>ben</v>
      </c>
      <c r="D210" s="1" t="str">
        <f t="shared" si="10"/>
        <v>kirsch</v>
      </c>
      <c r="E210" s="1" t="str">
        <f t="shared" si="11"/>
        <v>ben.kirsch@martinus-gymnasium.de</v>
      </c>
      <c r="F210" t="s">
        <v>406</v>
      </c>
    </row>
    <row r="211" spans="1:6" x14ac:dyDescent="0.2">
      <c r="A211" s="1" t="s">
        <v>385</v>
      </c>
      <c r="B211" s="1" t="s">
        <v>386</v>
      </c>
      <c r="C211" s="1" t="str">
        <f t="shared" si="9"/>
        <v>silvia</v>
      </c>
      <c r="D211" s="1" t="str">
        <f t="shared" si="10"/>
        <v>klein</v>
      </c>
      <c r="E211" s="1" t="str">
        <f t="shared" si="11"/>
        <v>silvia.klein@martinus-gymnasium.de</v>
      </c>
      <c r="F211" t="s">
        <v>406</v>
      </c>
    </row>
    <row r="212" spans="1:6" x14ac:dyDescent="0.2">
      <c r="A212" s="1" t="s">
        <v>387</v>
      </c>
      <c r="B212" s="1" t="s">
        <v>388</v>
      </c>
      <c r="C212" s="1" t="str">
        <f t="shared" si="9"/>
        <v>lea</v>
      </c>
      <c r="D212" s="1" t="str">
        <f t="shared" si="10"/>
        <v>laut</v>
      </c>
      <c r="E212" s="1" t="str">
        <f t="shared" si="11"/>
        <v>lea.laut@martinus-gymnasium.de</v>
      </c>
      <c r="F212" t="s">
        <v>406</v>
      </c>
    </row>
    <row r="213" spans="1:6" x14ac:dyDescent="0.2">
      <c r="A213" s="1" t="s">
        <v>389</v>
      </c>
      <c r="B213" s="1" t="s">
        <v>390</v>
      </c>
      <c r="C213" s="1" t="str">
        <f t="shared" si="9"/>
        <v>maya</v>
      </c>
      <c r="D213" s="1" t="str">
        <f t="shared" si="10"/>
        <v>lindlohr</v>
      </c>
      <c r="E213" s="1" t="str">
        <f t="shared" si="11"/>
        <v>maya.lindlohr@martinus-gymnasium.de</v>
      </c>
      <c r="F213" t="s">
        <v>406</v>
      </c>
    </row>
    <row r="214" spans="1:6" x14ac:dyDescent="0.2">
      <c r="A214" s="1" t="s">
        <v>238</v>
      </c>
      <c r="B214" s="1" t="s">
        <v>257</v>
      </c>
      <c r="C214" s="1" t="str">
        <f t="shared" si="9"/>
        <v>lennox</v>
      </c>
      <c r="D214" s="1" t="str">
        <f t="shared" si="10"/>
        <v>nietzard</v>
      </c>
      <c r="E214" s="1" t="str">
        <f t="shared" si="11"/>
        <v>lennox.nietzard@martinus-gymnasium.de</v>
      </c>
      <c r="F214" t="s">
        <v>406</v>
      </c>
    </row>
    <row r="215" spans="1:6" x14ac:dyDescent="0.2">
      <c r="A215" s="1" t="s">
        <v>391</v>
      </c>
      <c r="B215" s="1" t="s">
        <v>392</v>
      </c>
      <c r="C215" s="1" t="str">
        <f t="shared" si="9"/>
        <v>pit</v>
      </c>
      <c r="D215" s="1" t="str">
        <f t="shared" si="10"/>
        <v>prasser</v>
      </c>
      <c r="E215" s="1" t="str">
        <f t="shared" si="11"/>
        <v>pit.prasser@martinus-gymnasium.de</v>
      </c>
      <c r="F215" t="s">
        <v>406</v>
      </c>
    </row>
    <row r="216" spans="1:6" x14ac:dyDescent="0.2">
      <c r="A216" s="1" t="s">
        <v>393</v>
      </c>
      <c r="B216" s="1" t="s">
        <v>394</v>
      </c>
      <c r="C216" s="1" t="str">
        <f t="shared" si="9"/>
        <v>scarlett</v>
      </c>
      <c r="D216" s="1" t="str">
        <f t="shared" si="10"/>
        <v>ruch</v>
      </c>
      <c r="E216" s="1" t="str">
        <f t="shared" si="11"/>
        <v>scarlett.ruch@martinus-gymnasium.de</v>
      </c>
      <c r="F216" t="s">
        <v>406</v>
      </c>
    </row>
    <row r="217" spans="1:6" x14ac:dyDescent="0.2">
      <c r="A217" s="1" t="s">
        <v>98</v>
      </c>
      <c r="B217" s="1" t="s">
        <v>395</v>
      </c>
      <c r="C217" s="1" t="str">
        <f t="shared" si="9"/>
        <v>paulina</v>
      </c>
      <c r="D217" s="1" t="str">
        <f t="shared" si="10"/>
        <v>schwarz</v>
      </c>
      <c r="E217" s="1" t="str">
        <f t="shared" si="11"/>
        <v>paulina.schwarz@martinus-gymnasium.de</v>
      </c>
      <c r="F217" t="s">
        <v>406</v>
      </c>
    </row>
    <row r="218" spans="1:6" x14ac:dyDescent="0.2">
      <c r="A218" s="1" t="s">
        <v>150</v>
      </c>
      <c r="B218" s="1" t="s">
        <v>396</v>
      </c>
      <c r="C218" s="1" t="str">
        <f t="shared" si="9"/>
        <v>naira</v>
      </c>
      <c r="D218" s="1" t="str">
        <f t="shared" si="10"/>
        <v>simonis</v>
      </c>
      <c r="E218" s="1" t="str">
        <f t="shared" si="11"/>
        <v>naira.simonis@martinus-gymnasium.de</v>
      </c>
      <c r="F218" t="s">
        <v>406</v>
      </c>
    </row>
    <row r="219" spans="1:6" x14ac:dyDescent="0.2">
      <c r="A219" s="1" t="s">
        <v>397</v>
      </c>
      <c r="B219" s="1" t="s">
        <v>398</v>
      </c>
      <c r="C219" s="1" t="str">
        <f t="shared" si="9"/>
        <v>johanna</v>
      </c>
      <c r="D219" s="1" t="str">
        <f t="shared" si="10"/>
        <v>sopart</v>
      </c>
      <c r="E219" s="1" t="str">
        <f t="shared" si="11"/>
        <v>johanna.sopart@martinus-gymnasium.de</v>
      </c>
      <c r="F219" t="s">
        <v>406</v>
      </c>
    </row>
    <row r="220" spans="1:6" x14ac:dyDescent="0.2">
      <c r="A220" s="1" t="s">
        <v>399</v>
      </c>
      <c r="B220" s="1" t="s">
        <v>400</v>
      </c>
      <c r="C220" s="1" t="str">
        <f t="shared" si="9"/>
        <v>wiktoria.vanessa</v>
      </c>
      <c r="D220" s="1" t="str">
        <f t="shared" si="10"/>
        <v>szumilas</v>
      </c>
      <c r="E220" s="1" t="str">
        <f t="shared" si="11"/>
        <v>wiktoria.vanessa.szumilas@martinus-gymnasium.de</v>
      </c>
      <c r="F220" t="s">
        <v>406</v>
      </c>
    </row>
    <row r="221" spans="1:6" x14ac:dyDescent="0.2">
      <c r="A221" s="1" t="s">
        <v>401</v>
      </c>
      <c r="B221" s="1" t="s">
        <v>402</v>
      </c>
      <c r="C221" s="1" t="str">
        <f t="shared" si="9"/>
        <v>joya</v>
      </c>
      <c r="D221" s="1" t="str">
        <f t="shared" si="10"/>
        <v>vazquez.y.vazquez</v>
      </c>
      <c r="E221" s="1" t="str">
        <f t="shared" si="11"/>
        <v>joya.vazquez.y.vazquez@martinus-gymnasium.de</v>
      </c>
      <c r="F221" t="s">
        <v>406</v>
      </c>
    </row>
    <row r="222" spans="1:6" x14ac:dyDescent="0.2">
      <c r="A222" s="1" t="s">
        <v>403</v>
      </c>
      <c r="B222" s="1" t="s">
        <v>36</v>
      </c>
      <c r="C222" s="1" t="str">
        <f t="shared" si="9"/>
        <v>maximilian</v>
      </c>
      <c r="D222" s="1" t="str">
        <f t="shared" si="10"/>
        <v>warmth</v>
      </c>
      <c r="E222" s="1" t="str">
        <f t="shared" si="11"/>
        <v>maximilian.warmth@martinus-gymnasium.de</v>
      </c>
      <c r="F222" t="s">
        <v>406</v>
      </c>
    </row>
    <row r="223" spans="1:6" x14ac:dyDescent="0.2">
      <c r="A223" s="1" t="s">
        <v>404</v>
      </c>
      <c r="B223" s="1" t="s">
        <v>187</v>
      </c>
      <c r="C223" s="1" t="str">
        <f t="shared" si="9"/>
        <v>hannah</v>
      </c>
      <c r="D223" s="1" t="str">
        <f t="shared" si="10"/>
        <v>weber</v>
      </c>
      <c r="E223" s="1" t="str">
        <f t="shared" si="11"/>
        <v>hannah.weber@martinus-gymnasium.de</v>
      </c>
      <c r="F223" t="s">
        <v>406</v>
      </c>
    </row>
    <row r="224" spans="1:6" x14ac:dyDescent="0.2">
      <c r="A224" s="1" t="s">
        <v>405</v>
      </c>
      <c r="B224" s="1" t="s">
        <v>231</v>
      </c>
      <c r="C224" s="1" t="str">
        <f t="shared" si="9"/>
        <v>pascal</v>
      </c>
      <c r="D224" s="1" t="str">
        <f t="shared" si="10"/>
        <v>wiemer</v>
      </c>
      <c r="E224" s="1" t="str">
        <f t="shared" si="11"/>
        <v>pascal.wiemer@martinus-gymnasium.de</v>
      </c>
      <c r="F224" t="s">
        <v>406</v>
      </c>
    </row>
    <row r="225" spans="1:6" x14ac:dyDescent="0.2">
      <c r="A225" s="1" t="s">
        <v>408</v>
      </c>
      <c r="B225" s="1" t="s">
        <v>63</v>
      </c>
      <c r="C225" s="1" t="str">
        <f t="shared" si="9"/>
        <v>hala</v>
      </c>
      <c r="D225" s="1" t="str">
        <f t="shared" si="10"/>
        <v>alaktaa</v>
      </c>
      <c r="E225" s="1" t="str">
        <f t="shared" si="11"/>
        <v>hala.alaktaa@martinus-gymnasium.de</v>
      </c>
      <c r="F225" t="s">
        <v>407</v>
      </c>
    </row>
    <row r="226" spans="1:6" x14ac:dyDescent="0.2">
      <c r="A226" s="1" t="s">
        <v>409</v>
      </c>
      <c r="B226" s="1" t="s">
        <v>410</v>
      </c>
      <c r="C226" s="1" t="str">
        <f t="shared" si="9"/>
        <v>vesa</v>
      </c>
      <c r="D226" s="1" t="str">
        <f t="shared" si="10"/>
        <v>avdyli</v>
      </c>
      <c r="E226" s="1" t="str">
        <f t="shared" si="11"/>
        <v>vesa.avdyli@martinus-gymnasium.de</v>
      </c>
      <c r="F226" t="s">
        <v>407</v>
      </c>
    </row>
    <row r="227" spans="1:6" x14ac:dyDescent="0.2">
      <c r="A227" s="1" t="s">
        <v>411</v>
      </c>
      <c r="B227" s="1" t="s">
        <v>56</v>
      </c>
      <c r="C227" s="1" t="str">
        <f t="shared" si="9"/>
        <v>daria</v>
      </c>
      <c r="D227" s="1" t="str">
        <f t="shared" si="10"/>
        <v>balaba</v>
      </c>
      <c r="E227" s="1" t="str">
        <f t="shared" si="11"/>
        <v>daria.balaba@martinus-gymnasium.de</v>
      </c>
      <c r="F227" t="s">
        <v>407</v>
      </c>
    </row>
    <row r="228" spans="1:6" x14ac:dyDescent="0.2">
      <c r="A228" s="1" t="s">
        <v>412</v>
      </c>
      <c r="B228" s="1" t="s">
        <v>299</v>
      </c>
      <c r="C228" s="1" t="str">
        <f t="shared" si="9"/>
        <v>emma</v>
      </c>
      <c r="D228" s="1" t="str">
        <f t="shared" si="10"/>
        <v>born</v>
      </c>
      <c r="E228" s="1" t="str">
        <f t="shared" si="11"/>
        <v>emma.born@martinus-gymnasium.de</v>
      </c>
      <c r="F228" t="s">
        <v>407</v>
      </c>
    </row>
    <row r="229" spans="1:6" x14ac:dyDescent="0.2">
      <c r="A229" s="1" t="s">
        <v>413</v>
      </c>
      <c r="B229" s="1" t="s">
        <v>414</v>
      </c>
      <c r="C229" s="1" t="str">
        <f t="shared" si="9"/>
        <v>valentin</v>
      </c>
      <c r="D229" s="1" t="str">
        <f t="shared" si="10"/>
        <v>boeyer</v>
      </c>
      <c r="E229" s="1" t="str">
        <f t="shared" si="11"/>
        <v>valentin.boeyer@martinus-gymnasium.de</v>
      </c>
      <c r="F229" t="s">
        <v>407</v>
      </c>
    </row>
    <row r="230" spans="1:6" x14ac:dyDescent="0.2">
      <c r="A230" s="1" t="s">
        <v>415</v>
      </c>
      <c r="B230" s="1" t="s">
        <v>416</v>
      </c>
      <c r="C230" s="1" t="str">
        <f t="shared" si="9"/>
        <v>emma.carolina</v>
      </c>
      <c r="D230" s="1" t="str">
        <f t="shared" si="10"/>
        <v>ditter</v>
      </c>
      <c r="E230" s="1" t="str">
        <f t="shared" si="11"/>
        <v>emma.carolina.ditter@martinus-gymnasium.de</v>
      </c>
      <c r="F230" t="s">
        <v>407</v>
      </c>
    </row>
    <row r="231" spans="1:6" x14ac:dyDescent="0.2">
      <c r="A231" s="1" t="s">
        <v>417</v>
      </c>
      <c r="B231" s="1" t="s">
        <v>418</v>
      </c>
      <c r="C231" s="1" t="str">
        <f t="shared" si="9"/>
        <v>joshua</v>
      </c>
      <c r="D231" s="1" t="str">
        <f t="shared" si="10"/>
        <v>effert</v>
      </c>
      <c r="E231" s="1" t="str">
        <f t="shared" si="11"/>
        <v>joshua.effert@martinus-gymnasium.de</v>
      </c>
      <c r="F231" t="s">
        <v>407</v>
      </c>
    </row>
    <row r="232" spans="1:6" x14ac:dyDescent="0.2">
      <c r="A232" s="1" t="s">
        <v>419</v>
      </c>
      <c r="B232" s="1" t="s">
        <v>200</v>
      </c>
      <c r="C232" s="1" t="str">
        <f t="shared" si="9"/>
        <v>fabian</v>
      </c>
      <c r="D232" s="1" t="str">
        <f t="shared" si="10"/>
        <v>ince</v>
      </c>
      <c r="E232" s="1" t="str">
        <f t="shared" si="11"/>
        <v>fabian.ince@martinus-gymnasium.de</v>
      </c>
      <c r="F232" t="s">
        <v>407</v>
      </c>
    </row>
    <row r="233" spans="1:6" x14ac:dyDescent="0.2">
      <c r="A233" s="1" t="s">
        <v>420</v>
      </c>
      <c r="B233" s="1" t="s">
        <v>421</v>
      </c>
      <c r="C233" s="1" t="str">
        <f t="shared" si="9"/>
        <v>sofiia</v>
      </c>
      <c r="D233" s="1" t="str">
        <f t="shared" si="10"/>
        <v>kuznetsova</v>
      </c>
      <c r="E233" s="1" t="str">
        <f t="shared" si="11"/>
        <v>sofiia.kuznetsova@martinus-gymnasium.de</v>
      </c>
      <c r="F233" t="s">
        <v>407</v>
      </c>
    </row>
    <row r="234" spans="1:6" x14ac:dyDescent="0.2">
      <c r="A234" s="1" t="s">
        <v>422</v>
      </c>
      <c r="B234" s="1" t="s">
        <v>423</v>
      </c>
      <c r="C234" s="1" t="str">
        <f t="shared" si="9"/>
        <v>giuliana</v>
      </c>
      <c r="D234" s="1" t="str">
        <f t="shared" si="10"/>
        <v>lo.iacono</v>
      </c>
      <c r="E234" s="1" t="str">
        <f t="shared" si="11"/>
        <v>giuliana.lo.iacono@martinus-gymnasium.de</v>
      </c>
      <c r="F234" t="s">
        <v>407</v>
      </c>
    </row>
    <row r="235" spans="1:6" x14ac:dyDescent="0.2">
      <c r="A235" s="1" t="s">
        <v>424</v>
      </c>
      <c r="B235" s="1" t="s">
        <v>398</v>
      </c>
      <c r="C235" s="1" t="str">
        <f t="shared" si="9"/>
        <v>johanna</v>
      </c>
      <c r="D235" s="1" t="str">
        <f t="shared" si="10"/>
        <v>mielke</v>
      </c>
      <c r="E235" s="1" t="str">
        <f t="shared" si="11"/>
        <v>johanna.mielke@martinus-gymnasium.de</v>
      </c>
      <c r="F235" t="s">
        <v>407</v>
      </c>
    </row>
    <row r="236" spans="1:6" x14ac:dyDescent="0.2">
      <c r="A236" s="1" t="s">
        <v>425</v>
      </c>
      <c r="B236" s="1" t="s">
        <v>67</v>
      </c>
      <c r="C236" s="1" t="str">
        <f t="shared" si="9"/>
        <v>jonas</v>
      </c>
      <c r="D236" s="1" t="str">
        <f t="shared" si="10"/>
        <v>muthers</v>
      </c>
      <c r="E236" s="1" t="str">
        <f t="shared" si="11"/>
        <v>jonas.muthers@martinus-gymnasium.de</v>
      </c>
      <c r="F236" t="s">
        <v>407</v>
      </c>
    </row>
    <row r="237" spans="1:6" x14ac:dyDescent="0.2">
      <c r="A237" s="1" t="s">
        <v>426</v>
      </c>
      <c r="B237" s="1" t="s">
        <v>427</v>
      </c>
      <c r="C237" s="1" t="str">
        <f t="shared" si="9"/>
        <v>aylin</v>
      </c>
      <c r="D237" s="1" t="str">
        <f t="shared" si="10"/>
        <v>özkaya</v>
      </c>
      <c r="E237" s="1" t="str">
        <f t="shared" si="11"/>
        <v>aylin.özkaya@martinus-gymnasium.de</v>
      </c>
      <c r="F237" t="s">
        <v>407</v>
      </c>
    </row>
    <row r="238" spans="1:6" x14ac:dyDescent="0.2">
      <c r="A238" s="1" t="s">
        <v>428</v>
      </c>
      <c r="B238" s="1" t="s">
        <v>89</v>
      </c>
      <c r="C238" s="1" t="str">
        <f t="shared" si="9"/>
        <v>lucas</v>
      </c>
      <c r="D238" s="1" t="str">
        <f t="shared" si="10"/>
        <v>reichelt</v>
      </c>
      <c r="E238" s="1" t="str">
        <f t="shared" si="11"/>
        <v>lucas.reichelt@martinus-gymnasium.de</v>
      </c>
      <c r="F238" t="s">
        <v>407</v>
      </c>
    </row>
    <row r="239" spans="1:6" x14ac:dyDescent="0.2">
      <c r="A239" s="1" t="s">
        <v>429</v>
      </c>
      <c r="B239" s="1" t="s">
        <v>430</v>
      </c>
      <c r="C239" s="1" t="str">
        <f t="shared" si="9"/>
        <v>philine</v>
      </c>
      <c r="D239" s="1" t="str">
        <f t="shared" si="10"/>
        <v>rohloff</v>
      </c>
      <c r="E239" s="1" t="str">
        <f t="shared" si="11"/>
        <v>philine.rohloff@martinus-gymnasium.de</v>
      </c>
      <c r="F239" t="s">
        <v>407</v>
      </c>
    </row>
    <row r="240" spans="1:6" x14ac:dyDescent="0.2">
      <c r="A240" s="1" t="s">
        <v>431</v>
      </c>
      <c r="B240" s="1" t="s">
        <v>432</v>
      </c>
      <c r="C240" s="1" t="str">
        <f t="shared" si="9"/>
        <v>goudy</v>
      </c>
      <c r="D240" s="1" t="str">
        <f t="shared" si="10"/>
        <v>saad</v>
      </c>
      <c r="E240" s="1" t="str">
        <f t="shared" si="11"/>
        <v>goudy.saad@martinus-gymnasium.de</v>
      </c>
      <c r="F240" t="s">
        <v>407</v>
      </c>
    </row>
    <row r="241" spans="1:6" x14ac:dyDescent="0.2">
      <c r="A241" s="1" t="s">
        <v>322</v>
      </c>
      <c r="B241" s="1" t="s">
        <v>433</v>
      </c>
      <c r="C241" s="1" t="str">
        <f t="shared" si="9"/>
        <v>joris</v>
      </c>
      <c r="D241" s="1" t="str">
        <f t="shared" si="10"/>
        <v>sartor</v>
      </c>
      <c r="E241" s="1" t="str">
        <f t="shared" si="11"/>
        <v>joris.sartor@martinus-gymnasium.de</v>
      </c>
      <c r="F241" t="s">
        <v>407</v>
      </c>
    </row>
    <row r="242" spans="1:6" x14ac:dyDescent="0.2">
      <c r="A242" s="1" t="s">
        <v>196</v>
      </c>
      <c r="B242" s="1" t="s">
        <v>22</v>
      </c>
      <c r="C242" s="1" t="str">
        <f t="shared" si="9"/>
        <v>leonie</v>
      </c>
      <c r="D242" s="1" t="str">
        <f t="shared" si="10"/>
        <v>schlueter</v>
      </c>
      <c r="E242" s="1" t="str">
        <f t="shared" si="11"/>
        <v>leonie.schlueter@martinus-gymnasium.de</v>
      </c>
      <c r="F242" t="s">
        <v>407</v>
      </c>
    </row>
    <row r="243" spans="1:6" x14ac:dyDescent="0.2">
      <c r="A243" s="1" t="s">
        <v>45</v>
      </c>
      <c r="B243" s="1" t="s">
        <v>434</v>
      </c>
      <c r="C243" s="1" t="str">
        <f t="shared" si="9"/>
        <v>fynn</v>
      </c>
      <c r="D243" s="1" t="str">
        <f t="shared" si="10"/>
        <v>schmitz</v>
      </c>
      <c r="E243" s="1" t="str">
        <f t="shared" si="11"/>
        <v>fynn.schmitz@martinus-gymnasium.de</v>
      </c>
      <c r="F243" t="s">
        <v>407</v>
      </c>
    </row>
    <row r="244" spans="1:6" x14ac:dyDescent="0.2">
      <c r="A244" s="1" t="s">
        <v>435</v>
      </c>
      <c r="B244" s="1" t="s">
        <v>52</v>
      </c>
      <c r="C244" s="1" t="str">
        <f t="shared" si="9"/>
        <v>elias</v>
      </c>
      <c r="D244" s="1" t="str">
        <f t="shared" si="10"/>
        <v>seib</v>
      </c>
      <c r="E244" s="1" t="str">
        <f t="shared" si="11"/>
        <v>elias.seib@martinus-gymnasium.de</v>
      </c>
      <c r="F244" t="s">
        <v>407</v>
      </c>
    </row>
    <row r="245" spans="1:6" x14ac:dyDescent="0.2">
      <c r="A245" s="1" t="s">
        <v>436</v>
      </c>
      <c r="B245" s="1" t="s">
        <v>437</v>
      </c>
      <c r="C245" s="1" t="str">
        <f t="shared" si="9"/>
        <v>philipp</v>
      </c>
      <c r="D245" s="1" t="str">
        <f t="shared" si="10"/>
        <v>trudrung</v>
      </c>
      <c r="E245" s="1" t="str">
        <f t="shared" si="11"/>
        <v>philipp.trudrung@martinus-gymnasium.de</v>
      </c>
      <c r="F245" t="s">
        <v>407</v>
      </c>
    </row>
    <row r="246" spans="1:6" x14ac:dyDescent="0.2">
      <c r="A246" s="1" t="s">
        <v>291</v>
      </c>
      <c r="B246" s="1" t="s">
        <v>438</v>
      </c>
      <c r="C246" s="1" t="str">
        <f t="shared" si="9"/>
        <v>henrik</v>
      </c>
      <c r="D246" s="1" t="str">
        <f t="shared" si="10"/>
        <v>winkler</v>
      </c>
      <c r="E246" s="1" t="str">
        <f t="shared" si="11"/>
        <v>henrik.winkler@martinus-gymnasium.de</v>
      </c>
      <c r="F246" t="s">
        <v>407</v>
      </c>
    </row>
    <row r="247" spans="1:6" x14ac:dyDescent="0.2">
      <c r="A247" s="1" t="s">
        <v>439</v>
      </c>
      <c r="B247" s="1" t="s">
        <v>440</v>
      </c>
      <c r="C247" s="1" t="str">
        <f t="shared" si="9"/>
        <v>maryam</v>
      </c>
      <c r="D247" s="1" t="str">
        <f t="shared" si="10"/>
        <v>abdul.raouf</v>
      </c>
      <c r="E247" s="1" t="str">
        <f t="shared" si="11"/>
        <v>maryam.abdul.raouf@martinus-gymnasium.de</v>
      </c>
      <c r="F247">
        <v>11</v>
      </c>
    </row>
    <row r="248" spans="1:6" x14ac:dyDescent="0.2">
      <c r="A248" s="1" t="s">
        <v>441</v>
      </c>
      <c r="B248" s="1" t="s">
        <v>442</v>
      </c>
      <c r="C248" s="1" t="str">
        <f t="shared" si="9"/>
        <v>bjarne.mathias</v>
      </c>
      <c r="D248" s="1" t="str">
        <f t="shared" si="10"/>
        <v>adolphi</v>
      </c>
      <c r="E248" s="1" t="str">
        <f t="shared" si="11"/>
        <v>bjarne.mathias.adolphi@martinus-gymnasium.de</v>
      </c>
      <c r="F248">
        <v>11</v>
      </c>
    </row>
    <row r="249" spans="1:6" x14ac:dyDescent="0.2">
      <c r="A249" s="1" t="s">
        <v>443</v>
      </c>
      <c r="B249" s="1" t="s">
        <v>444</v>
      </c>
      <c r="C249" s="1" t="str">
        <f t="shared" ref="C249:C312" si="12">LOWER(SUBSTITUTE(SUBSTITUTE(SUBSTITUTE(SUBSTITUTE(SUBSTITUTE(SUBSTITUTE(SUBSTITUTE(SUBSTITUTE(SUBSTITUTE(SUBSTITUTE(SUBSTITUTE(B249," ","."),"-","."),"ä","ae"),"ö","oe"),"ü","ue"),"ß","ss"),"é","e"),"ú","u"),"á","a"),"Ł","L"),"ł","l"))</f>
        <v>rehma</v>
      </c>
      <c r="D249" s="1" t="str">
        <f t="shared" ref="D249:D312" si="13">LOWER(SUBSTITUTE(SUBSTITUTE(SUBSTITUTE(SUBSTITUTE(SUBSTITUTE(SUBSTITUTE(SUBSTITUTE(SUBSTITUTE(SUBSTITUTE(SUBSTITUTE(SUBSTITUTE(A249," ","."),"-","."),"ä","ae"),"ö","oe"),"ü","ue"),"ß","ss"),"é","e"),"ú","u"),"á","a"),"Ł","L"),"ł","l"))</f>
        <v>alkesaab</v>
      </c>
      <c r="E249" s="1" t="str">
        <f t="shared" si="11"/>
        <v>rehma.alkesaab@martinus-gymnasium.de</v>
      </c>
      <c r="F249">
        <v>11</v>
      </c>
    </row>
    <row r="250" spans="1:6" x14ac:dyDescent="0.2">
      <c r="A250" s="1" t="s">
        <v>445</v>
      </c>
      <c r="B250" s="1" t="s">
        <v>446</v>
      </c>
      <c r="C250" s="1" t="str">
        <f t="shared" si="12"/>
        <v>magnus</v>
      </c>
      <c r="D250" s="1" t="str">
        <f t="shared" si="13"/>
        <v>assenmacher</v>
      </c>
      <c r="E250" s="1" t="str">
        <f t="shared" si="11"/>
        <v>magnus.assenmacher@martinus-gymnasium.de</v>
      </c>
      <c r="F250">
        <v>11</v>
      </c>
    </row>
    <row r="251" spans="1:6" x14ac:dyDescent="0.2">
      <c r="A251" s="1" t="s">
        <v>447</v>
      </c>
      <c r="B251" s="1" t="s">
        <v>448</v>
      </c>
      <c r="C251" s="1" t="str">
        <f t="shared" si="12"/>
        <v>hansa.yagmur</v>
      </c>
      <c r="D251" s="1" t="str">
        <f t="shared" si="13"/>
        <v>aycicek</v>
      </c>
      <c r="E251" s="1" t="str">
        <f t="shared" si="11"/>
        <v>hansa.yagmur.aycicek@martinus-gymnasium.de</v>
      </c>
      <c r="F251">
        <v>11</v>
      </c>
    </row>
    <row r="252" spans="1:6" x14ac:dyDescent="0.2">
      <c r="A252" s="1" t="s">
        <v>449</v>
      </c>
      <c r="B252" s="1" t="s">
        <v>450</v>
      </c>
      <c r="C252" s="1" t="str">
        <f t="shared" si="12"/>
        <v>mykola</v>
      </c>
      <c r="D252" s="1" t="str">
        <f t="shared" si="13"/>
        <v>bakhtin</v>
      </c>
      <c r="E252" s="1" t="str">
        <f t="shared" si="11"/>
        <v>mykola.bakhtin@martinus-gymnasium.de</v>
      </c>
      <c r="F252">
        <v>11</v>
      </c>
    </row>
    <row r="253" spans="1:6" x14ac:dyDescent="0.2">
      <c r="A253" s="1" t="s">
        <v>451</v>
      </c>
      <c r="B253" s="1" t="s">
        <v>452</v>
      </c>
      <c r="C253" s="1" t="str">
        <f t="shared" si="12"/>
        <v>cilian.raul</v>
      </c>
      <c r="D253" s="1" t="str">
        <f t="shared" si="13"/>
        <v>beck</v>
      </c>
      <c r="E253" s="1" t="str">
        <f t="shared" si="11"/>
        <v>cilian.raul.beck@martinus-gymnasium.de</v>
      </c>
      <c r="F253">
        <v>11</v>
      </c>
    </row>
    <row r="254" spans="1:6" x14ac:dyDescent="0.2">
      <c r="A254" s="1" t="s">
        <v>453</v>
      </c>
      <c r="B254" s="1" t="s">
        <v>454</v>
      </c>
      <c r="C254" s="1" t="str">
        <f t="shared" si="12"/>
        <v>merle</v>
      </c>
      <c r="D254" s="1" t="str">
        <f t="shared" si="13"/>
        <v>becker.roettgen</v>
      </c>
      <c r="E254" s="1" t="str">
        <f t="shared" si="11"/>
        <v>merle.becker.roettgen@martinus-gymnasium.de</v>
      </c>
      <c r="F254">
        <v>11</v>
      </c>
    </row>
    <row r="255" spans="1:6" x14ac:dyDescent="0.2">
      <c r="A255" s="1" t="s">
        <v>455</v>
      </c>
      <c r="B255" s="1" t="s">
        <v>233</v>
      </c>
      <c r="C255" s="1" t="str">
        <f t="shared" si="12"/>
        <v>sophia</v>
      </c>
      <c r="D255" s="1" t="str">
        <f t="shared" si="13"/>
        <v>busley</v>
      </c>
      <c r="E255" s="1" t="str">
        <f t="shared" si="11"/>
        <v>sophia.busley@martinus-gymnasium.de</v>
      </c>
      <c r="F255">
        <v>11</v>
      </c>
    </row>
    <row r="256" spans="1:6" x14ac:dyDescent="0.2">
      <c r="A256" s="1" t="s">
        <v>342</v>
      </c>
      <c r="B256" s="1" t="s">
        <v>456</v>
      </c>
      <c r="C256" s="1" t="str">
        <f t="shared" si="12"/>
        <v>seymen</v>
      </c>
      <c r="D256" s="1" t="str">
        <f t="shared" si="13"/>
        <v>ceylan</v>
      </c>
      <c r="E256" s="1" t="str">
        <f t="shared" si="11"/>
        <v>seymen.ceylan@martinus-gymnasium.de</v>
      </c>
      <c r="F256">
        <v>11</v>
      </c>
    </row>
    <row r="257" spans="1:6" x14ac:dyDescent="0.2">
      <c r="A257" s="1" t="s">
        <v>457</v>
      </c>
      <c r="B257" s="1" t="s">
        <v>120</v>
      </c>
      <c r="C257" s="1" t="str">
        <f t="shared" si="12"/>
        <v>marlene</v>
      </c>
      <c r="D257" s="1" t="str">
        <f t="shared" si="13"/>
        <v>chrenko</v>
      </c>
      <c r="E257" s="1" t="str">
        <f t="shared" si="11"/>
        <v>marlene.chrenko@martinus-gymnasium.de</v>
      </c>
      <c r="F257">
        <v>11</v>
      </c>
    </row>
    <row r="258" spans="1:6" x14ac:dyDescent="0.2">
      <c r="A258" s="1" t="s">
        <v>458</v>
      </c>
      <c r="B258" s="1" t="s">
        <v>459</v>
      </c>
      <c r="C258" s="1" t="str">
        <f t="shared" si="12"/>
        <v>marie.sofie</v>
      </c>
      <c r="D258" s="1" t="str">
        <f t="shared" si="13"/>
        <v>diederich</v>
      </c>
      <c r="E258" s="1" t="str">
        <f t="shared" si="11"/>
        <v>marie.sofie.diederich@martinus-gymnasium.de</v>
      </c>
      <c r="F258">
        <v>11</v>
      </c>
    </row>
    <row r="259" spans="1:6" x14ac:dyDescent="0.2">
      <c r="A259" s="1" t="s">
        <v>460</v>
      </c>
      <c r="B259" s="1" t="s">
        <v>461</v>
      </c>
      <c r="C259" s="1" t="str">
        <f t="shared" si="12"/>
        <v>fee</v>
      </c>
      <c r="D259" s="1" t="str">
        <f t="shared" si="13"/>
        <v>doenhoff</v>
      </c>
      <c r="E259" s="1" t="str">
        <f t="shared" ref="E259:E322" si="14">C259&amp;"."&amp;D259&amp;"@martinus-gymnasium.de"</f>
        <v>fee.doenhoff@martinus-gymnasium.de</v>
      </c>
      <c r="F259">
        <v>11</v>
      </c>
    </row>
    <row r="260" spans="1:6" x14ac:dyDescent="0.2">
      <c r="A260" s="1" t="s">
        <v>462</v>
      </c>
      <c r="B260" s="1" t="s">
        <v>463</v>
      </c>
      <c r="C260" s="1" t="str">
        <f t="shared" si="12"/>
        <v>marie.louisa</v>
      </c>
      <c r="D260" s="1" t="str">
        <f t="shared" si="13"/>
        <v>dorniak</v>
      </c>
      <c r="E260" s="1" t="str">
        <f t="shared" si="14"/>
        <v>marie.louisa.dorniak@martinus-gymnasium.de</v>
      </c>
      <c r="F260">
        <v>11</v>
      </c>
    </row>
    <row r="261" spans="1:6" x14ac:dyDescent="0.2">
      <c r="A261" s="1" t="s">
        <v>464</v>
      </c>
      <c r="B261" s="1" t="s">
        <v>465</v>
      </c>
      <c r="C261" s="1" t="str">
        <f t="shared" si="12"/>
        <v>sarah.michelle</v>
      </c>
      <c r="D261" s="1" t="str">
        <f t="shared" si="13"/>
        <v>emrich</v>
      </c>
      <c r="E261" s="1" t="str">
        <f t="shared" si="14"/>
        <v>sarah.michelle.emrich@martinus-gymnasium.de</v>
      </c>
      <c r="F261">
        <v>11</v>
      </c>
    </row>
    <row r="262" spans="1:6" x14ac:dyDescent="0.2">
      <c r="A262" s="1" t="s">
        <v>466</v>
      </c>
      <c r="B262" s="1" t="s">
        <v>467</v>
      </c>
      <c r="C262" s="1" t="str">
        <f t="shared" si="12"/>
        <v>ümit</v>
      </c>
      <c r="D262" s="1" t="str">
        <f t="shared" si="13"/>
        <v>ertuerk</v>
      </c>
      <c r="E262" s="1" t="str">
        <f t="shared" si="14"/>
        <v>ümit.ertuerk@martinus-gymnasium.de</v>
      </c>
      <c r="F262">
        <v>11</v>
      </c>
    </row>
    <row r="263" spans="1:6" x14ac:dyDescent="0.2">
      <c r="A263" s="1" t="s">
        <v>129</v>
      </c>
      <c r="B263" s="1" t="s">
        <v>468</v>
      </c>
      <c r="C263" s="1" t="str">
        <f t="shared" si="12"/>
        <v>philip</v>
      </c>
      <c r="D263" s="1" t="str">
        <f t="shared" si="13"/>
        <v>frye</v>
      </c>
      <c r="E263" s="1" t="str">
        <f t="shared" si="14"/>
        <v>philip.frye@martinus-gymnasium.de</v>
      </c>
      <c r="F263">
        <v>11</v>
      </c>
    </row>
    <row r="264" spans="1:6" x14ac:dyDescent="0.2">
      <c r="A264" s="1" t="s">
        <v>469</v>
      </c>
      <c r="B264" s="1" t="s">
        <v>470</v>
      </c>
      <c r="C264" s="1" t="str">
        <f t="shared" si="12"/>
        <v>celina.sophie</v>
      </c>
      <c r="D264" s="1" t="str">
        <f t="shared" si="13"/>
        <v>gerolstein</v>
      </c>
      <c r="E264" s="1" t="str">
        <f t="shared" si="14"/>
        <v>celina.sophie.gerolstein@martinus-gymnasium.de</v>
      </c>
      <c r="F264">
        <v>11</v>
      </c>
    </row>
    <row r="265" spans="1:6" x14ac:dyDescent="0.2">
      <c r="A265" s="1" t="s">
        <v>471</v>
      </c>
      <c r="B265" s="1" t="s">
        <v>472</v>
      </c>
      <c r="C265" s="1" t="str">
        <f t="shared" si="12"/>
        <v>kevin</v>
      </c>
      <c r="D265" s="1" t="str">
        <f t="shared" si="13"/>
        <v>guzday</v>
      </c>
      <c r="E265" s="1" t="str">
        <f t="shared" si="14"/>
        <v>kevin.guzday@martinus-gymnasium.de</v>
      </c>
      <c r="F265">
        <v>11</v>
      </c>
    </row>
    <row r="266" spans="1:6" x14ac:dyDescent="0.2">
      <c r="A266" s="1" t="s">
        <v>471</v>
      </c>
      <c r="B266" s="1" t="s">
        <v>473</v>
      </c>
      <c r="C266" s="1" t="str">
        <f t="shared" si="12"/>
        <v>leon</v>
      </c>
      <c r="D266" s="1" t="str">
        <f t="shared" si="13"/>
        <v>guzday</v>
      </c>
      <c r="E266" s="1" t="str">
        <f t="shared" si="14"/>
        <v>leon.guzday@martinus-gymnasium.de</v>
      </c>
      <c r="F266">
        <v>11</v>
      </c>
    </row>
    <row r="267" spans="1:6" x14ac:dyDescent="0.2">
      <c r="A267" s="1" t="s">
        <v>474</v>
      </c>
      <c r="B267" s="1" t="s">
        <v>122</v>
      </c>
      <c r="C267" s="1" t="str">
        <f t="shared" si="12"/>
        <v>lena</v>
      </c>
      <c r="D267" s="1" t="str">
        <f t="shared" si="13"/>
        <v>haefner</v>
      </c>
      <c r="E267" s="1" t="str">
        <f t="shared" si="14"/>
        <v>lena.haefner@martinus-gymnasium.de</v>
      </c>
      <c r="F267">
        <v>11</v>
      </c>
    </row>
    <row r="268" spans="1:6" x14ac:dyDescent="0.2">
      <c r="A268" s="1" t="s">
        <v>475</v>
      </c>
      <c r="B268" s="1" t="s">
        <v>434</v>
      </c>
      <c r="C268" s="1" t="str">
        <f t="shared" si="12"/>
        <v>fynn</v>
      </c>
      <c r="D268" s="1" t="str">
        <f t="shared" si="13"/>
        <v>hagedorn</v>
      </c>
      <c r="E268" s="1" t="str">
        <f t="shared" si="14"/>
        <v>fynn.hagedorn@martinus-gymnasium.de</v>
      </c>
      <c r="F268">
        <v>11</v>
      </c>
    </row>
    <row r="269" spans="1:6" x14ac:dyDescent="0.2">
      <c r="A269" s="1" t="s">
        <v>476</v>
      </c>
      <c r="B269" s="1" t="s">
        <v>122</v>
      </c>
      <c r="C269" s="1" t="str">
        <f t="shared" si="12"/>
        <v>lena</v>
      </c>
      <c r="D269" s="1" t="str">
        <f t="shared" si="13"/>
        <v>hartmann</v>
      </c>
      <c r="E269" s="1" t="str">
        <f t="shared" si="14"/>
        <v>lena.hartmann@martinus-gymnasium.de</v>
      </c>
      <c r="F269">
        <v>11</v>
      </c>
    </row>
    <row r="270" spans="1:6" x14ac:dyDescent="0.2">
      <c r="A270" s="1" t="s">
        <v>477</v>
      </c>
      <c r="B270" s="1" t="s">
        <v>478</v>
      </c>
      <c r="C270" s="1" t="str">
        <f t="shared" si="12"/>
        <v>leonie.caitriana</v>
      </c>
      <c r="D270" s="1" t="str">
        <f t="shared" si="13"/>
        <v>hermann</v>
      </c>
      <c r="E270" s="1" t="str">
        <f t="shared" si="14"/>
        <v>leonie.caitriana.hermann@martinus-gymnasium.de</v>
      </c>
      <c r="F270">
        <v>11</v>
      </c>
    </row>
    <row r="271" spans="1:6" x14ac:dyDescent="0.2">
      <c r="A271" s="1" t="s">
        <v>477</v>
      </c>
      <c r="B271" s="1" t="s">
        <v>479</v>
      </c>
      <c r="C271" s="1" t="str">
        <f t="shared" si="12"/>
        <v>pauline.frederike</v>
      </c>
      <c r="D271" s="1" t="str">
        <f t="shared" si="13"/>
        <v>hermann</v>
      </c>
      <c r="E271" s="1" t="str">
        <f t="shared" si="14"/>
        <v>pauline.frederike.hermann@martinus-gymnasium.de</v>
      </c>
      <c r="F271">
        <v>11</v>
      </c>
    </row>
    <row r="272" spans="1:6" x14ac:dyDescent="0.2">
      <c r="A272" s="1" t="s">
        <v>480</v>
      </c>
      <c r="B272" s="1" t="s">
        <v>52</v>
      </c>
      <c r="C272" s="1" t="str">
        <f t="shared" si="12"/>
        <v>elias</v>
      </c>
      <c r="D272" s="1" t="str">
        <f t="shared" si="13"/>
        <v>hildebrandt</v>
      </c>
      <c r="E272" s="1" t="str">
        <f t="shared" si="14"/>
        <v>elias.hildebrandt@martinus-gymnasium.de</v>
      </c>
      <c r="F272">
        <v>11</v>
      </c>
    </row>
    <row r="273" spans="1:6" x14ac:dyDescent="0.2">
      <c r="A273" s="1" t="s">
        <v>481</v>
      </c>
      <c r="B273" s="1" t="s">
        <v>482</v>
      </c>
      <c r="C273" s="1" t="str">
        <f t="shared" si="12"/>
        <v>fabian.linus</v>
      </c>
      <c r="D273" s="1" t="str">
        <f t="shared" si="13"/>
        <v>hillmann</v>
      </c>
      <c r="E273" s="1" t="str">
        <f t="shared" si="14"/>
        <v>fabian.linus.hillmann@martinus-gymnasium.de</v>
      </c>
      <c r="F273">
        <v>11</v>
      </c>
    </row>
    <row r="274" spans="1:6" x14ac:dyDescent="0.2">
      <c r="A274" s="1" t="s">
        <v>135</v>
      </c>
      <c r="B274" s="1" t="s">
        <v>355</v>
      </c>
      <c r="C274" s="1" t="str">
        <f t="shared" si="12"/>
        <v>alexander</v>
      </c>
      <c r="D274" s="1" t="str">
        <f t="shared" si="13"/>
        <v>hoffmann</v>
      </c>
      <c r="E274" s="1" t="str">
        <f t="shared" si="14"/>
        <v>alexander.hoffmann@martinus-gymnasium.de</v>
      </c>
      <c r="F274">
        <v>11</v>
      </c>
    </row>
    <row r="275" spans="1:6" x14ac:dyDescent="0.2">
      <c r="A275" s="1" t="s">
        <v>483</v>
      </c>
      <c r="B275" s="1" t="s">
        <v>484</v>
      </c>
      <c r="C275" s="1" t="str">
        <f t="shared" si="12"/>
        <v>lars</v>
      </c>
      <c r="D275" s="1" t="str">
        <f t="shared" si="13"/>
        <v>homscheid</v>
      </c>
      <c r="E275" s="1" t="str">
        <f t="shared" si="14"/>
        <v>lars.homscheid@martinus-gymnasium.de</v>
      </c>
      <c r="F275">
        <v>11</v>
      </c>
    </row>
    <row r="276" spans="1:6" x14ac:dyDescent="0.2">
      <c r="A276" s="1" t="s">
        <v>485</v>
      </c>
      <c r="B276" s="1" t="s">
        <v>486</v>
      </c>
      <c r="C276" s="1" t="str">
        <f t="shared" si="12"/>
        <v>tymur</v>
      </c>
      <c r="D276" s="1" t="str">
        <f t="shared" si="13"/>
        <v>ivanov</v>
      </c>
      <c r="E276" s="1" t="str">
        <f t="shared" si="14"/>
        <v>tymur.ivanov@martinus-gymnasium.de</v>
      </c>
      <c r="F276">
        <v>11</v>
      </c>
    </row>
    <row r="277" spans="1:6" x14ac:dyDescent="0.2">
      <c r="A277" s="1" t="s">
        <v>487</v>
      </c>
      <c r="B277" s="1" t="s">
        <v>52</v>
      </c>
      <c r="C277" s="1" t="str">
        <f t="shared" si="12"/>
        <v>elias</v>
      </c>
      <c r="D277" s="1" t="str">
        <f t="shared" si="13"/>
        <v>jesse</v>
      </c>
      <c r="E277" s="1" t="str">
        <f t="shared" si="14"/>
        <v>elias.jesse@martinus-gymnasium.de</v>
      </c>
      <c r="F277">
        <v>11</v>
      </c>
    </row>
    <row r="278" spans="1:6" x14ac:dyDescent="0.2">
      <c r="A278" s="1" t="s">
        <v>488</v>
      </c>
      <c r="B278" s="1" t="s">
        <v>489</v>
      </c>
      <c r="C278" s="1" t="str">
        <f t="shared" si="12"/>
        <v>nils</v>
      </c>
      <c r="D278" s="1" t="str">
        <f t="shared" si="13"/>
        <v>kandels</v>
      </c>
      <c r="E278" s="1" t="str">
        <f t="shared" si="14"/>
        <v>nils.kandels@martinus-gymnasium.de</v>
      </c>
      <c r="F278">
        <v>11</v>
      </c>
    </row>
    <row r="279" spans="1:6" x14ac:dyDescent="0.2">
      <c r="A279" s="1" t="s">
        <v>490</v>
      </c>
      <c r="B279" s="1" t="s">
        <v>491</v>
      </c>
      <c r="C279" s="1" t="str">
        <f t="shared" si="12"/>
        <v>karl.alan</v>
      </c>
      <c r="D279" s="1" t="str">
        <f t="shared" si="13"/>
        <v>kanoglu</v>
      </c>
      <c r="E279" s="1" t="str">
        <f t="shared" si="14"/>
        <v>karl.alan.kanoglu@martinus-gymnasium.de</v>
      </c>
      <c r="F279">
        <v>11</v>
      </c>
    </row>
    <row r="280" spans="1:6" x14ac:dyDescent="0.2">
      <c r="A280" s="1" t="s">
        <v>222</v>
      </c>
      <c r="B280" s="1" t="s">
        <v>492</v>
      </c>
      <c r="C280" s="1" t="str">
        <f t="shared" si="12"/>
        <v>oskar.szymon</v>
      </c>
      <c r="D280" s="1" t="str">
        <f t="shared" si="13"/>
        <v>kasperowicz</v>
      </c>
      <c r="E280" s="1" t="str">
        <f t="shared" si="14"/>
        <v>oskar.szymon.kasperowicz@martinus-gymnasium.de</v>
      </c>
      <c r="F280">
        <v>11</v>
      </c>
    </row>
    <row r="281" spans="1:6" x14ac:dyDescent="0.2">
      <c r="A281" s="1" t="s">
        <v>493</v>
      </c>
      <c r="B281" s="1" t="s">
        <v>494</v>
      </c>
      <c r="C281" s="1" t="str">
        <f t="shared" si="12"/>
        <v>tim</v>
      </c>
      <c r="D281" s="1" t="str">
        <f t="shared" si="13"/>
        <v>keller</v>
      </c>
      <c r="E281" s="1" t="str">
        <f t="shared" si="14"/>
        <v>tim.keller@martinus-gymnasium.de</v>
      </c>
      <c r="F281">
        <v>11</v>
      </c>
    </row>
    <row r="282" spans="1:6" x14ac:dyDescent="0.2">
      <c r="A282" s="1" t="s">
        <v>495</v>
      </c>
      <c r="B282" s="1" t="s">
        <v>496</v>
      </c>
      <c r="C282" s="1" t="str">
        <f t="shared" si="12"/>
        <v>mohammadmahdi</v>
      </c>
      <c r="D282" s="1" t="str">
        <f t="shared" si="13"/>
        <v>khatibifard</v>
      </c>
      <c r="E282" s="1" t="str">
        <f t="shared" si="14"/>
        <v>mohammadmahdi.khatibifard@martinus-gymnasium.de</v>
      </c>
      <c r="F282">
        <v>11</v>
      </c>
    </row>
    <row r="283" spans="1:6" x14ac:dyDescent="0.2">
      <c r="A283" s="1" t="s">
        <v>280</v>
      </c>
      <c r="B283" s="1" t="s">
        <v>497</v>
      </c>
      <c r="C283" s="1" t="str">
        <f t="shared" si="12"/>
        <v>jolie.shanti</v>
      </c>
      <c r="D283" s="1" t="str">
        <f t="shared" si="13"/>
        <v>khazdouzian</v>
      </c>
      <c r="E283" s="1" t="str">
        <f t="shared" si="14"/>
        <v>jolie.shanti.khazdouzian@martinus-gymnasium.de</v>
      </c>
      <c r="F283">
        <v>11</v>
      </c>
    </row>
    <row r="284" spans="1:6" x14ac:dyDescent="0.2">
      <c r="A284" s="1" t="s">
        <v>498</v>
      </c>
      <c r="B284" s="1" t="s">
        <v>499</v>
      </c>
      <c r="C284" s="1" t="str">
        <f t="shared" si="12"/>
        <v>justin</v>
      </c>
      <c r="D284" s="1" t="str">
        <f t="shared" si="13"/>
        <v>knoop</v>
      </c>
      <c r="E284" s="1" t="str">
        <f t="shared" si="14"/>
        <v>justin.knoop@martinus-gymnasium.de</v>
      </c>
      <c r="F284">
        <v>11</v>
      </c>
    </row>
    <row r="285" spans="1:6" x14ac:dyDescent="0.2">
      <c r="A285" s="1" t="s">
        <v>500</v>
      </c>
      <c r="B285" s="1" t="s">
        <v>501</v>
      </c>
      <c r="C285" s="1" t="str">
        <f t="shared" si="12"/>
        <v>kristers</v>
      </c>
      <c r="D285" s="1" t="str">
        <f t="shared" si="13"/>
        <v>kokums</v>
      </c>
      <c r="E285" s="1" t="str">
        <f t="shared" si="14"/>
        <v>kristers.kokums@martinus-gymnasium.de</v>
      </c>
      <c r="F285">
        <v>11</v>
      </c>
    </row>
    <row r="286" spans="1:6" x14ac:dyDescent="0.2">
      <c r="A286" s="1" t="s">
        <v>81</v>
      </c>
      <c r="B286" s="1" t="s">
        <v>494</v>
      </c>
      <c r="C286" s="1" t="str">
        <f t="shared" si="12"/>
        <v>tim</v>
      </c>
      <c r="D286" s="1" t="str">
        <f t="shared" si="13"/>
        <v>koenigs</v>
      </c>
      <c r="E286" s="1" t="str">
        <f t="shared" si="14"/>
        <v>tim.koenigs@martinus-gymnasium.de</v>
      </c>
      <c r="F286">
        <v>11</v>
      </c>
    </row>
    <row r="287" spans="1:6" x14ac:dyDescent="0.2">
      <c r="A287" s="1" t="s">
        <v>178</v>
      </c>
      <c r="B287" s="1" t="s">
        <v>502</v>
      </c>
      <c r="C287" s="1" t="str">
        <f t="shared" si="12"/>
        <v>timo.alfred</v>
      </c>
      <c r="D287" s="1" t="str">
        <f t="shared" si="13"/>
        <v>kroeger</v>
      </c>
      <c r="E287" s="1" t="str">
        <f t="shared" si="14"/>
        <v>timo.alfred.kroeger@martinus-gymnasium.de</v>
      </c>
      <c r="F287">
        <v>11</v>
      </c>
    </row>
    <row r="288" spans="1:6" x14ac:dyDescent="0.2">
      <c r="A288" s="1" t="s">
        <v>180</v>
      </c>
      <c r="B288" s="1" t="s">
        <v>503</v>
      </c>
      <c r="C288" s="1" t="str">
        <f t="shared" si="12"/>
        <v>melina</v>
      </c>
      <c r="D288" s="1" t="str">
        <f t="shared" si="13"/>
        <v>kroell</v>
      </c>
      <c r="E288" s="1" t="str">
        <f t="shared" si="14"/>
        <v>melina.kroell@martinus-gymnasium.de</v>
      </c>
      <c r="F288">
        <v>11</v>
      </c>
    </row>
    <row r="289" spans="1:6" x14ac:dyDescent="0.2">
      <c r="A289" s="1" t="s">
        <v>504</v>
      </c>
      <c r="B289" s="1" t="s">
        <v>505</v>
      </c>
      <c r="C289" s="1" t="str">
        <f t="shared" si="12"/>
        <v>kyra</v>
      </c>
      <c r="D289" s="1" t="str">
        <f t="shared" si="13"/>
        <v>kronfoth</v>
      </c>
      <c r="E289" s="1" t="str">
        <f t="shared" si="14"/>
        <v>kyra.kronfoth@martinus-gymnasium.de</v>
      </c>
      <c r="F289">
        <v>11</v>
      </c>
    </row>
    <row r="290" spans="1:6" x14ac:dyDescent="0.2">
      <c r="A290" s="1" t="s">
        <v>506</v>
      </c>
      <c r="B290" s="1" t="s">
        <v>507</v>
      </c>
      <c r="C290" s="1" t="str">
        <f t="shared" si="12"/>
        <v>petra</v>
      </c>
      <c r="D290" s="1" t="str">
        <f t="shared" si="13"/>
        <v>kuruc</v>
      </c>
      <c r="E290" s="1" t="str">
        <f t="shared" si="14"/>
        <v>petra.kuruc@martinus-gymnasium.de</v>
      </c>
      <c r="F290">
        <v>11</v>
      </c>
    </row>
    <row r="291" spans="1:6" x14ac:dyDescent="0.2">
      <c r="A291" s="1" t="s">
        <v>508</v>
      </c>
      <c r="B291" s="1" t="s">
        <v>36</v>
      </c>
      <c r="C291" s="1" t="str">
        <f t="shared" si="12"/>
        <v>maximilian</v>
      </c>
      <c r="D291" s="1" t="str">
        <f t="shared" si="13"/>
        <v>lampke</v>
      </c>
      <c r="E291" s="1" t="str">
        <f t="shared" si="14"/>
        <v>maximilian.lampke@martinus-gymnasium.de</v>
      </c>
      <c r="F291">
        <v>11</v>
      </c>
    </row>
    <row r="292" spans="1:6" x14ac:dyDescent="0.2">
      <c r="A292" s="1" t="s">
        <v>509</v>
      </c>
      <c r="B292" s="1" t="s">
        <v>510</v>
      </c>
      <c r="C292" s="1" t="str">
        <f t="shared" si="12"/>
        <v>bennet.laurin</v>
      </c>
      <c r="D292" s="1" t="str">
        <f t="shared" si="13"/>
        <v>lay</v>
      </c>
      <c r="E292" s="1" t="str">
        <f t="shared" si="14"/>
        <v>bennet.laurin.lay@martinus-gymnasium.de</v>
      </c>
      <c r="F292">
        <v>11</v>
      </c>
    </row>
    <row r="293" spans="1:6" x14ac:dyDescent="0.2">
      <c r="A293" s="1" t="s">
        <v>511</v>
      </c>
      <c r="B293" s="1" t="s">
        <v>512</v>
      </c>
      <c r="C293" s="1" t="str">
        <f t="shared" si="12"/>
        <v>artian</v>
      </c>
      <c r="D293" s="1" t="str">
        <f t="shared" si="13"/>
        <v>lokaj</v>
      </c>
      <c r="E293" s="1" t="str">
        <f t="shared" si="14"/>
        <v>artian.lokaj@martinus-gymnasium.de</v>
      </c>
      <c r="F293">
        <v>11</v>
      </c>
    </row>
    <row r="294" spans="1:6" x14ac:dyDescent="0.2">
      <c r="A294" s="1" t="s">
        <v>513</v>
      </c>
      <c r="B294" s="1" t="s">
        <v>514</v>
      </c>
      <c r="C294" s="1" t="str">
        <f t="shared" si="12"/>
        <v>furkan</v>
      </c>
      <c r="D294" s="1" t="str">
        <f t="shared" si="13"/>
        <v>mancoglu</v>
      </c>
      <c r="E294" s="1" t="str">
        <f t="shared" si="14"/>
        <v>furkan.mancoglu@martinus-gymnasium.de</v>
      </c>
      <c r="F294">
        <v>11</v>
      </c>
    </row>
    <row r="295" spans="1:6" x14ac:dyDescent="0.2">
      <c r="A295" s="1" t="s">
        <v>186</v>
      </c>
      <c r="B295" s="1" t="s">
        <v>136</v>
      </c>
      <c r="C295" s="1" t="str">
        <f t="shared" si="12"/>
        <v>lara</v>
      </c>
      <c r="D295" s="1" t="str">
        <f t="shared" si="13"/>
        <v>martin</v>
      </c>
      <c r="E295" s="1" t="str">
        <f t="shared" si="14"/>
        <v>lara.martin@martinus-gymnasium.de</v>
      </c>
      <c r="F295">
        <v>11</v>
      </c>
    </row>
    <row r="296" spans="1:6" x14ac:dyDescent="0.2">
      <c r="A296" s="1" t="s">
        <v>141</v>
      </c>
      <c r="B296" s="1" t="s">
        <v>515</v>
      </c>
      <c r="C296" s="1" t="str">
        <f t="shared" si="12"/>
        <v>annalena</v>
      </c>
      <c r="D296" s="1" t="str">
        <f t="shared" si="13"/>
        <v>mertesacker</v>
      </c>
      <c r="E296" s="1" t="str">
        <f t="shared" si="14"/>
        <v>annalena.mertesacker@martinus-gymnasium.de</v>
      </c>
      <c r="F296">
        <v>11</v>
      </c>
    </row>
    <row r="297" spans="1:6" x14ac:dyDescent="0.2">
      <c r="A297" s="1" t="s">
        <v>516</v>
      </c>
      <c r="B297" s="1" t="s">
        <v>517</v>
      </c>
      <c r="C297" s="1" t="str">
        <f t="shared" si="12"/>
        <v>katarina</v>
      </c>
      <c r="D297" s="1" t="str">
        <f t="shared" si="13"/>
        <v>milinkovic</v>
      </c>
      <c r="E297" s="1" t="str">
        <f t="shared" si="14"/>
        <v>katarina.milinkovic@martinus-gymnasium.de</v>
      </c>
      <c r="F297">
        <v>11</v>
      </c>
    </row>
    <row r="298" spans="1:6" x14ac:dyDescent="0.2">
      <c r="A298" s="1" t="s">
        <v>518</v>
      </c>
      <c r="B298" s="1" t="s">
        <v>519</v>
      </c>
      <c r="C298" s="1" t="str">
        <f t="shared" si="12"/>
        <v>leni</v>
      </c>
      <c r="D298" s="1" t="str">
        <f t="shared" si="13"/>
        <v>mueller</v>
      </c>
      <c r="E298" s="1" t="str">
        <f t="shared" si="14"/>
        <v>leni.mueller@martinus-gymnasium.de</v>
      </c>
      <c r="F298">
        <v>11</v>
      </c>
    </row>
    <row r="299" spans="1:6" x14ac:dyDescent="0.2">
      <c r="A299" s="1" t="s">
        <v>520</v>
      </c>
      <c r="B299" s="1" t="s">
        <v>360</v>
      </c>
      <c r="C299" s="1" t="str">
        <f t="shared" si="12"/>
        <v>moritz</v>
      </c>
      <c r="D299" s="1" t="str">
        <f t="shared" si="13"/>
        <v>munsch</v>
      </c>
      <c r="E299" s="1" t="str">
        <f t="shared" si="14"/>
        <v>moritz.munsch@martinus-gymnasium.de</v>
      </c>
      <c r="F299">
        <v>11</v>
      </c>
    </row>
    <row r="300" spans="1:6" x14ac:dyDescent="0.2">
      <c r="A300" s="1" t="s">
        <v>425</v>
      </c>
      <c r="B300" s="1" t="s">
        <v>521</v>
      </c>
      <c r="C300" s="1" t="str">
        <f t="shared" si="12"/>
        <v>nele</v>
      </c>
      <c r="D300" s="1" t="str">
        <f t="shared" si="13"/>
        <v>muthers</v>
      </c>
      <c r="E300" s="1" t="str">
        <f t="shared" si="14"/>
        <v>nele.muthers@martinus-gymnasium.de</v>
      </c>
      <c r="F300">
        <v>11</v>
      </c>
    </row>
    <row r="301" spans="1:6" x14ac:dyDescent="0.2">
      <c r="A301" s="1" t="s">
        <v>522</v>
      </c>
      <c r="B301" s="1" t="s">
        <v>523</v>
      </c>
      <c r="C301" s="1" t="str">
        <f t="shared" si="12"/>
        <v>haniya</v>
      </c>
      <c r="D301" s="1" t="str">
        <f t="shared" si="13"/>
        <v>napelyani</v>
      </c>
      <c r="E301" s="1" t="str">
        <f t="shared" si="14"/>
        <v>haniya.napelyani@martinus-gymnasium.de</v>
      </c>
      <c r="F301">
        <v>11</v>
      </c>
    </row>
    <row r="302" spans="1:6" x14ac:dyDescent="0.2">
      <c r="A302" s="1" t="s">
        <v>87</v>
      </c>
      <c r="B302" s="1" t="s">
        <v>524</v>
      </c>
      <c r="C302" s="1" t="str">
        <f t="shared" si="12"/>
        <v>tatiana.marie</v>
      </c>
      <c r="D302" s="1" t="str">
        <f t="shared" si="13"/>
        <v>neve</v>
      </c>
      <c r="E302" s="1" t="str">
        <f t="shared" si="14"/>
        <v>tatiana.marie.neve@martinus-gymnasium.de</v>
      </c>
      <c r="F302">
        <v>11</v>
      </c>
    </row>
    <row r="303" spans="1:6" x14ac:dyDescent="0.2">
      <c r="A303" s="1" t="s">
        <v>143</v>
      </c>
      <c r="B303" s="1" t="s">
        <v>525</v>
      </c>
      <c r="C303" s="1" t="str">
        <f t="shared" si="12"/>
        <v>khanh.ly</v>
      </c>
      <c r="D303" s="1" t="str">
        <f t="shared" si="13"/>
        <v>nguyen</v>
      </c>
      <c r="E303" s="1" t="str">
        <f t="shared" si="14"/>
        <v>khanh.ly.nguyen@martinus-gymnasium.de</v>
      </c>
      <c r="F303">
        <v>11</v>
      </c>
    </row>
    <row r="304" spans="1:6" x14ac:dyDescent="0.2">
      <c r="A304" s="1" t="s">
        <v>143</v>
      </c>
      <c r="B304" s="1" t="s">
        <v>526</v>
      </c>
      <c r="C304" s="1" t="str">
        <f t="shared" si="12"/>
        <v>quang.binh</v>
      </c>
      <c r="D304" s="1" t="str">
        <f t="shared" si="13"/>
        <v>nguyen</v>
      </c>
      <c r="E304" s="1" t="str">
        <f t="shared" si="14"/>
        <v>quang.binh.nguyen@martinus-gymnasium.de</v>
      </c>
      <c r="F304">
        <v>11</v>
      </c>
    </row>
    <row r="305" spans="1:6" x14ac:dyDescent="0.2">
      <c r="A305" s="1" t="s">
        <v>527</v>
      </c>
      <c r="B305" s="1" t="s">
        <v>503</v>
      </c>
      <c r="C305" s="1" t="str">
        <f t="shared" si="12"/>
        <v>melina</v>
      </c>
      <c r="D305" s="1" t="str">
        <f t="shared" si="13"/>
        <v>poepping</v>
      </c>
      <c r="E305" s="1" t="str">
        <f t="shared" si="14"/>
        <v>melina.poepping@martinus-gymnasium.de</v>
      </c>
      <c r="F305">
        <v>11</v>
      </c>
    </row>
    <row r="306" spans="1:6" x14ac:dyDescent="0.2">
      <c r="A306" s="1" t="s">
        <v>528</v>
      </c>
      <c r="B306" s="1" t="s">
        <v>473</v>
      </c>
      <c r="C306" s="1" t="str">
        <f t="shared" si="12"/>
        <v>leon</v>
      </c>
      <c r="D306" s="1" t="str">
        <f t="shared" si="13"/>
        <v>profitlich</v>
      </c>
      <c r="E306" s="1" t="str">
        <f t="shared" si="14"/>
        <v>leon.profitlich@martinus-gymnasium.de</v>
      </c>
      <c r="F306">
        <v>11</v>
      </c>
    </row>
    <row r="307" spans="1:6" x14ac:dyDescent="0.2">
      <c r="A307" s="1" t="s">
        <v>529</v>
      </c>
      <c r="B307" s="1" t="s">
        <v>530</v>
      </c>
      <c r="C307" s="1" t="str">
        <f t="shared" si="12"/>
        <v>nazar</v>
      </c>
      <c r="D307" s="1" t="str">
        <f t="shared" si="13"/>
        <v>prytula</v>
      </c>
      <c r="E307" s="1" t="str">
        <f t="shared" si="14"/>
        <v>nazar.prytula@martinus-gymnasium.de</v>
      </c>
      <c r="F307">
        <v>11</v>
      </c>
    </row>
    <row r="308" spans="1:6" x14ac:dyDescent="0.2">
      <c r="A308" s="1" t="s">
        <v>531</v>
      </c>
      <c r="B308" s="1" t="s">
        <v>532</v>
      </c>
      <c r="C308" s="1" t="str">
        <f t="shared" si="12"/>
        <v>emilia.maria</v>
      </c>
      <c r="D308" s="1" t="str">
        <f t="shared" si="13"/>
        <v>reitz</v>
      </c>
      <c r="E308" s="1" t="str">
        <f t="shared" si="14"/>
        <v>emilia.maria.reitz@martinus-gymnasium.de</v>
      </c>
      <c r="F308">
        <v>11</v>
      </c>
    </row>
    <row r="309" spans="1:6" x14ac:dyDescent="0.2">
      <c r="A309" s="1" t="s">
        <v>533</v>
      </c>
      <c r="B309" s="1" t="s">
        <v>534</v>
      </c>
      <c r="C309" s="1" t="str">
        <f t="shared" si="12"/>
        <v>helena</v>
      </c>
      <c r="D309" s="1" t="str">
        <f t="shared" si="13"/>
        <v>rodriguez.escher</v>
      </c>
      <c r="E309" s="1" t="str">
        <f t="shared" si="14"/>
        <v>helena.rodriguez.escher@martinus-gymnasium.de</v>
      </c>
      <c r="F309">
        <v>11</v>
      </c>
    </row>
    <row r="310" spans="1:6" x14ac:dyDescent="0.2">
      <c r="A310" s="1" t="s">
        <v>535</v>
      </c>
      <c r="B310" s="1" t="s">
        <v>536</v>
      </c>
      <c r="C310" s="1" t="str">
        <f t="shared" si="12"/>
        <v>yasmin</v>
      </c>
      <c r="D310" s="1" t="str">
        <f t="shared" si="13"/>
        <v>runkel</v>
      </c>
      <c r="E310" s="1" t="str">
        <f t="shared" si="14"/>
        <v>yasmin.runkel@martinus-gymnasium.de</v>
      </c>
      <c r="F310">
        <v>11</v>
      </c>
    </row>
    <row r="311" spans="1:6" x14ac:dyDescent="0.2">
      <c r="A311" s="1" t="s">
        <v>537</v>
      </c>
      <c r="B311" s="1" t="s">
        <v>538</v>
      </c>
      <c r="C311" s="1" t="str">
        <f t="shared" si="12"/>
        <v>saltuk.emir</v>
      </c>
      <c r="D311" s="1" t="str">
        <f t="shared" si="13"/>
        <v>sahinbay</v>
      </c>
      <c r="E311" s="1" t="str">
        <f t="shared" si="14"/>
        <v>saltuk.emir.sahinbay@martinus-gymnasium.de</v>
      </c>
      <c r="F311">
        <v>11</v>
      </c>
    </row>
    <row r="312" spans="1:6" x14ac:dyDescent="0.2">
      <c r="A312" s="1" t="s">
        <v>539</v>
      </c>
      <c r="B312" s="1" t="s">
        <v>540</v>
      </c>
      <c r="C312" s="1" t="str">
        <f t="shared" si="12"/>
        <v>marwa</v>
      </c>
      <c r="D312" s="1" t="str">
        <f t="shared" si="13"/>
        <v>salimi</v>
      </c>
      <c r="E312" s="1" t="str">
        <f t="shared" si="14"/>
        <v>marwa.salimi@martinus-gymnasium.de</v>
      </c>
      <c r="F312">
        <v>11</v>
      </c>
    </row>
    <row r="313" spans="1:6" x14ac:dyDescent="0.2">
      <c r="A313" s="1" t="s">
        <v>322</v>
      </c>
      <c r="B313" s="1" t="s">
        <v>541</v>
      </c>
      <c r="C313" s="1" t="str">
        <f t="shared" ref="C313:C375" si="15">LOWER(SUBSTITUTE(SUBSTITUTE(SUBSTITUTE(SUBSTITUTE(SUBSTITUTE(SUBSTITUTE(SUBSTITUTE(SUBSTITUTE(SUBSTITUTE(SUBSTITUTE(SUBSTITUTE(B313," ","."),"-","."),"ä","ae"),"ö","oe"),"ü","ue"),"ß","ss"),"é","e"),"ú","u"),"á","a"),"Ł","L"),"ł","l"))</f>
        <v>finja</v>
      </c>
      <c r="D313" s="1" t="str">
        <f t="shared" ref="D313:D375" si="16">LOWER(SUBSTITUTE(SUBSTITUTE(SUBSTITUTE(SUBSTITUTE(SUBSTITUTE(SUBSTITUTE(SUBSTITUTE(SUBSTITUTE(SUBSTITUTE(SUBSTITUTE(SUBSTITUTE(A313," ","."),"-","."),"ä","ae"),"ö","oe"),"ü","ue"),"ß","ss"),"é","e"),"ú","u"),"á","a"),"Ł","L"),"ł","l"))</f>
        <v>sartor</v>
      </c>
      <c r="E313" s="1" t="str">
        <f t="shared" si="14"/>
        <v>finja.sartor@martinus-gymnasium.de</v>
      </c>
      <c r="F313">
        <v>11</v>
      </c>
    </row>
    <row r="314" spans="1:6" x14ac:dyDescent="0.2">
      <c r="A314" s="1" t="s">
        <v>45</v>
      </c>
      <c r="B314" s="1" t="s">
        <v>542</v>
      </c>
      <c r="C314" s="1" t="str">
        <f t="shared" si="15"/>
        <v>carlotta.marit</v>
      </c>
      <c r="D314" s="1" t="str">
        <f t="shared" si="16"/>
        <v>schmitz</v>
      </c>
      <c r="E314" s="1" t="str">
        <f t="shared" si="14"/>
        <v>carlotta.marit.schmitz@martinus-gymnasium.de</v>
      </c>
      <c r="F314">
        <v>11</v>
      </c>
    </row>
    <row r="315" spans="1:6" x14ac:dyDescent="0.2">
      <c r="A315" s="1" t="s">
        <v>47</v>
      </c>
      <c r="B315" s="1" t="s">
        <v>543</v>
      </c>
      <c r="C315" s="1" t="str">
        <f t="shared" si="15"/>
        <v>sara.marie</v>
      </c>
      <c r="D315" s="1" t="str">
        <f t="shared" si="16"/>
        <v>schneider</v>
      </c>
      <c r="E315" s="1" t="str">
        <f t="shared" si="14"/>
        <v>sara.marie.schneider@martinus-gymnasium.de</v>
      </c>
      <c r="F315">
        <v>11</v>
      </c>
    </row>
    <row r="316" spans="1:6" x14ac:dyDescent="0.2">
      <c r="A316" s="1" t="s">
        <v>544</v>
      </c>
      <c r="B316" s="1" t="s">
        <v>545</v>
      </c>
      <c r="C316" s="1" t="str">
        <f t="shared" si="15"/>
        <v>isabel</v>
      </c>
      <c r="D316" s="1" t="str">
        <f t="shared" si="16"/>
        <v>schnurr</v>
      </c>
      <c r="E316" s="1" t="str">
        <f t="shared" si="14"/>
        <v>isabel.schnurr@martinus-gymnasium.de</v>
      </c>
      <c r="F316">
        <v>11</v>
      </c>
    </row>
    <row r="317" spans="1:6" x14ac:dyDescent="0.2">
      <c r="A317" s="1" t="s">
        <v>546</v>
      </c>
      <c r="B317" s="1" t="s">
        <v>108</v>
      </c>
      <c r="C317" s="1" t="str">
        <f t="shared" si="15"/>
        <v>lina</v>
      </c>
      <c r="D317" s="1" t="str">
        <f t="shared" si="16"/>
        <v>schopp</v>
      </c>
      <c r="E317" s="1" t="str">
        <f t="shared" si="14"/>
        <v>lina.schopp@martinus-gymnasium.de</v>
      </c>
      <c r="F317">
        <v>11</v>
      </c>
    </row>
    <row r="318" spans="1:6" x14ac:dyDescent="0.2">
      <c r="A318" s="1" t="s">
        <v>547</v>
      </c>
      <c r="B318" s="1" t="s">
        <v>548</v>
      </c>
      <c r="C318" s="1" t="str">
        <f t="shared" si="15"/>
        <v>ngoc.vy</v>
      </c>
      <c r="D318" s="1" t="str">
        <f t="shared" si="16"/>
        <v>seidel</v>
      </c>
      <c r="E318" s="1" t="str">
        <f t="shared" si="14"/>
        <v>ngoc.vy.seidel@martinus-gymnasium.de</v>
      </c>
      <c r="F318">
        <v>11</v>
      </c>
    </row>
    <row r="319" spans="1:6" x14ac:dyDescent="0.2">
      <c r="A319" s="1" t="s">
        <v>549</v>
      </c>
      <c r="B319" s="1" t="s">
        <v>550</v>
      </c>
      <c r="C319" s="1" t="str">
        <f t="shared" si="15"/>
        <v>emilie</v>
      </c>
      <c r="D319" s="1" t="str">
        <f t="shared" si="16"/>
        <v>splitt</v>
      </c>
      <c r="E319" s="1" t="str">
        <f t="shared" si="14"/>
        <v>emilie.splitt@martinus-gymnasium.de</v>
      </c>
      <c r="F319">
        <v>11</v>
      </c>
    </row>
    <row r="320" spans="1:6" x14ac:dyDescent="0.2">
      <c r="A320" s="1" t="s">
        <v>551</v>
      </c>
      <c r="B320" s="1" t="s">
        <v>22</v>
      </c>
      <c r="C320" s="1" t="str">
        <f t="shared" si="15"/>
        <v>leonie</v>
      </c>
      <c r="D320" s="1" t="str">
        <f t="shared" si="16"/>
        <v>stahl</v>
      </c>
      <c r="E320" s="1" t="str">
        <f t="shared" si="14"/>
        <v>leonie.stahl@martinus-gymnasium.de</v>
      </c>
      <c r="F320">
        <v>11</v>
      </c>
    </row>
    <row r="321" spans="1:6" x14ac:dyDescent="0.2">
      <c r="A321" s="1" t="s">
        <v>552</v>
      </c>
      <c r="B321" s="1" t="s">
        <v>553</v>
      </c>
      <c r="C321" s="1" t="str">
        <f t="shared" si="15"/>
        <v>kimberly</v>
      </c>
      <c r="D321" s="1" t="str">
        <f t="shared" si="16"/>
        <v>stehle</v>
      </c>
      <c r="E321" s="1" t="str">
        <f t="shared" si="14"/>
        <v>kimberly.stehle@martinus-gymnasium.de</v>
      </c>
      <c r="F321">
        <v>11</v>
      </c>
    </row>
    <row r="322" spans="1:6" x14ac:dyDescent="0.2">
      <c r="A322" s="1" t="s">
        <v>554</v>
      </c>
      <c r="B322" s="1" t="s">
        <v>555</v>
      </c>
      <c r="C322" s="1" t="str">
        <f t="shared" si="15"/>
        <v>eric</v>
      </c>
      <c r="D322" s="1" t="str">
        <f t="shared" si="16"/>
        <v>stockhausen</v>
      </c>
      <c r="E322" s="1" t="str">
        <f t="shared" si="14"/>
        <v>eric.stockhausen@martinus-gymnasium.de</v>
      </c>
      <c r="F322">
        <v>11</v>
      </c>
    </row>
    <row r="323" spans="1:6" x14ac:dyDescent="0.2">
      <c r="A323" s="1" t="s">
        <v>556</v>
      </c>
      <c r="B323" s="1" t="s">
        <v>36</v>
      </c>
      <c r="C323" s="1" t="str">
        <f t="shared" si="15"/>
        <v>maximilian</v>
      </c>
      <c r="D323" s="1" t="str">
        <f t="shared" si="16"/>
        <v>trude</v>
      </c>
      <c r="E323" s="1" t="str">
        <f t="shared" ref="E323:E386" si="17">C323&amp;"."&amp;D323&amp;"@martinus-gymnasium.de"</f>
        <v>maximilian.trude@martinus-gymnasium.de</v>
      </c>
      <c r="F323">
        <v>11</v>
      </c>
    </row>
    <row r="324" spans="1:6" x14ac:dyDescent="0.2">
      <c r="A324" s="1" t="s">
        <v>557</v>
      </c>
      <c r="B324" s="1" t="s">
        <v>36</v>
      </c>
      <c r="C324" s="1" t="str">
        <f t="shared" si="15"/>
        <v>maximilian</v>
      </c>
      <c r="D324" s="1" t="str">
        <f t="shared" si="16"/>
        <v>tschauner</v>
      </c>
      <c r="E324" s="1" t="str">
        <f t="shared" si="17"/>
        <v>maximilian.tschauner@martinus-gymnasium.de</v>
      </c>
      <c r="F324">
        <v>11</v>
      </c>
    </row>
    <row r="325" spans="1:6" x14ac:dyDescent="0.2">
      <c r="A325" s="1" t="s">
        <v>558</v>
      </c>
      <c r="B325" s="1" t="s">
        <v>559</v>
      </c>
      <c r="C325" s="1" t="str">
        <f t="shared" si="15"/>
        <v>ann.sophie</v>
      </c>
      <c r="D325" s="1" t="str">
        <f t="shared" si="16"/>
        <v>wagner</v>
      </c>
      <c r="E325" s="1" t="str">
        <f t="shared" si="17"/>
        <v>ann.sophie.wagner@martinus-gymnasium.de</v>
      </c>
      <c r="F325">
        <v>11</v>
      </c>
    </row>
    <row r="326" spans="1:6" x14ac:dyDescent="0.2">
      <c r="A326" s="1" t="s">
        <v>252</v>
      </c>
      <c r="B326" s="1" t="s">
        <v>560</v>
      </c>
      <c r="C326" s="1" t="str">
        <f t="shared" si="15"/>
        <v>clarissa.maria</v>
      </c>
      <c r="D326" s="1" t="str">
        <f t="shared" si="16"/>
        <v>walker</v>
      </c>
      <c r="E326" s="1" t="str">
        <f t="shared" si="17"/>
        <v>clarissa.maria.walker@martinus-gymnasium.de</v>
      </c>
      <c r="F326">
        <v>11</v>
      </c>
    </row>
    <row r="327" spans="1:6" x14ac:dyDescent="0.2">
      <c r="A327" s="1" t="s">
        <v>561</v>
      </c>
      <c r="B327" s="1" t="s">
        <v>151</v>
      </c>
      <c r="C327" s="1" t="str">
        <f t="shared" si="15"/>
        <v>marisa</v>
      </c>
      <c r="D327" s="1" t="str">
        <f t="shared" si="16"/>
        <v>wangkunklang</v>
      </c>
      <c r="E327" s="1" t="str">
        <f t="shared" si="17"/>
        <v>marisa.wangkunklang@martinus-gymnasium.de</v>
      </c>
      <c r="F327">
        <v>11</v>
      </c>
    </row>
    <row r="328" spans="1:6" x14ac:dyDescent="0.2">
      <c r="A328" s="1" t="s">
        <v>562</v>
      </c>
      <c r="B328" s="1" t="s">
        <v>563</v>
      </c>
      <c r="C328" s="1" t="str">
        <f t="shared" si="15"/>
        <v>evelyn</v>
      </c>
      <c r="D328" s="1" t="str">
        <f t="shared" si="16"/>
        <v>warjuschin</v>
      </c>
      <c r="E328" s="1" t="str">
        <f t="shared" si="17"/>
        <v>evelyn.warjuschin@martinus-gymnasium.de</v>
      </c>
      <c r="F328">
        <v>11</v>
      </c>
    </row>
    <row r="329" spans="1:6" x14ac:dyDescent="0.2">
      <c r="A329" s="1" t="s">
        <v>403</v>
      </c>
      <c r="B329" s="1" t="s">
        <v>120</v>
      </c>
      <c r="C329" s="1" t="str">
        <f t="shared" si="15"/>
        <v>marlene</v>
      </c>
      <c r="D329" s="1" t="str">
        <f t="shared" si="16"/>
        <v>warmth</v>
      </c>
      <c r="E329" s="1" t="str">
        <f t="shared" si="17"/>
        <v>marlene.warmth@martinus-gymnasium.de</v>
      </c>
      <c r="F329">
        <v>11</v>
      </c>
    </row>
    <row r="330" spans="1:6" x14ac:dyDescent="0.2">
      <c r="A330" s="1" t="s">
        <v>564</v>
      </c>
      <c r="B330" s="1" t="s">
        <v>565</v>
      </c>
      <c r="C330" s="1" t="str">
        <f t="shared" si="15"/>
        <v>erik.guenther.hadrick</v>
      </c>
      <c r="D330" s="1" t="str">
        <f t="shared" si="16"/>
        <v>watts</v>
      </c>
      <c r="E330" s="1" t="str">
        <f t="shared" si="17"/>
        <v>erik.guenther.hadrick.watts@martinus-gymnasium.de</v>
      </c>
      <c r="F330">
        <v>11</v>
      </c>
    </row>
    <row r="331" spans="1:6" x14ac:dyDescent="0.2">
      <c r="A331" s="1" t="s">
        <v>566</v>
      </c>
      <c r="B331" s="1" t="s">
        <v>567</v>
      </c>
      <c r="C331" s="1" t="str">
        <f t="shared" si="15"/>
        <v>matthias</v>
      </c>
      <c r="D331" s="1" t="str">
        <f t="shared" si="16"/>
        <v>weissenfels</v>
      </c>
      <c r="E331" s="1" t="str">
        <f t="shared" si="17"/>
        <v>matthias.weissenfels@martinus-gymnasium.de</v>
      </c>
      <c r="F331">
        <v>11</v>
      </c>
    </row>
    <row r="332" spans="1:6" x14ac:dyDescent="0.2">
      <c r="A332" s="1" t="s">
        <v>568</v>
      </c>
      <c r="B332" s="1" t="s">
        <v>569</v>
      </c>
      <c r="C332" s="1" t="str">
        <f t="shared" si="15"/>
        <v>miriam</v>
      </c>
      <c r="D332" s="1" t="str">
        <f t="shared" si="16"/>
        <v>willscheid</v>
      </c>
      <c r="E332" s="1" t="str">
        <f t="shared" si="17"/>
        <v>miriam.willscheid@martinus-gymnasium.de</v>
      </c>
      <c r="F332">
        <v>11</v>
      </c>
    </row>
    <row r="333" spans="1:6" x14ac:dyDescent="0.2">
      <c r="A333" s="1" t="s">
        <v>107</v>
      </c>
      <c r="B333" s="1" t="s">
        <v>390</v>
      </c>
      <c r="C333" s="1" t="str">
        <f t="shared" si="15"/>
        <v>maya</v>
      </c>
      <c r="D333" s="1" t="str">
        <f t="shared" si="16"/>
        <v>wotzke</v>
      </c>
      <c r="E333" s="1" t="str">
        <f t="shared" si="17"/>
        <v>maya.wotzke@martinus-gymnasium.de</v>
      </c>
      <c r="F333">
        <v>11</v>
      </c>
    </row>
    <row r="334" spans="1:6" x14ac:dyDescent="0.2">
      <c r="A334" s="1" t="s">
        <v>570</v>
      </c>
      <c r="B334" s="1" t="s">
        <v>571</v>
      </c>
      <c r="C334" s="1" t="str">
        <f t="shared" si="15"/>
        <v>mert.alim</v>
      </c>
      <c r="D334" s="1" t="str">
        <f t="shared" si="16"/>
        <v>yaldir</v>
      </c>
      <c r="E334" s="1" t="str">
        <f t="shared" si="17"/>
        <v>mert.alim.yaldir@martinus-gymnasium.de</v>
      </c>
      <c r="F334">
        <v>11</v>
      </c>
    </row>
    <row r="335" spans="1:6" x14ac:dyDescent="0.2">
      <c r="A335" s="1" t="s">
        <v>292</v>
      </c>
      <c r="B335" s="1" t="s">
        <v>572</v>
      </c>
      <c r="C335" s="1" t="str">
        <f t="shared" si="15"/>
        <v>mariko.sophia</v>
      </c>
      <c r="D335" s="1" t="str">
        <f t="shared" si="16"/>
        <v>zeiler</v>
      </c>
      <c r="E335" s="1" t="str">
        <f t="shared" si="17"/>
        <v>mariko.sophia.zeiler@martinus-gymnasium.de</v>
      </c>
      <c r="F335">
        <v>11</v>
      </c>
    </row>
    <row r="336" spans="1:6" x14ac:dyDescent="0.2">
      <c r="A336" s="1" t="s">
        <v>573</v>
      </c>
      <c r="B336" s="1" t="s">
        <v>574</v>
      </c>
      <c r="C336" s="1" t="str">
        <f t="shared" si="15"/>
        <v>nderon</v>
      </c>
      <c r="D336" s="1" t="str">
        <f t="shared" si="16"/>
        <v>zeqa</v>
      </c>
      <c r="E336" s="1" t="str">
        <f t="shared" si="17"/>
        <v>nderon.zeqa@martinus-gymnasium.de</v>
      </c>
      <c r="F336">
        <v>11</v>
      </c>
    </row>
    <row r="337" spans="1:6" x14ac:dyDescent="0.2">
      <c r="A337" s="1" t="s">
        <v>575</v>
      </c>
      <c r="B337" s="1" t="s">
        <v>576</v>
      </c>
      <c r="C337" s="1" t="str">
        <f t="shared" si="15"/>
        <v>dana</v>
      </c>
      <c r="D337" s="1" t="str">
        <f t="shared" si="16"/>
        <v>apel</v>
      </c>
      <c r="E337" s="1" t="str">
        <f t="shared" si="17"/>
        <v>dana.apel@martinus-gymnasium.de</v>
      </c>
      <c r="F337">
        <v>12</v>
      </c>
    </row>
    <row r="338" spans="1:6" x14ac:dyDescent="0.2">
      <c r="A338" s="1" t="s">
        <v>577</v>
      </c>
      <c r="B338" s="1" t="s">
        <v>578</v>
      </c>
      <c r="C338" s="1" t="str">
        <f t="shared" si="15"/>
        <v>cosmin</v>
      </c>
      <c r="D338" s="1" t="str">
        <f t="shared" si="16"/>
        <v>babaliga</v>
      </c>
      <c r="E338" s="1" t="str">
        <f t="shared" si="17"/>
        <v>cosmin.babaliga@martinus-gymnasium.de</v>
      </c>
      <c r="F338">
        <v>12</v>
      </c>
    </row>
    <row r="339" spans="1:6" x14ac:dyDescent="0.2">
      <c r="A339" s="1" t="s">
        <v>260</v>
      </c>
      <c r="B339" s="1" t="s">
        <v>187</v>
      </c>
      <c r="C339" s="1" t="str">
        <f t="shared" si="15"/>
        <v>hannah</v>
      </c>
      <c r="D339" s="1" t="str">
        <f t="shared" si="16"/>
        <v>bock</v>
      </c>
      <c r="E339" s="1" t="str">
        <f t="shared" si="17"/>
        <v>hannah.bock@martinus-gymnasium.de</v>
      </c>
      <c r="F339">
        <v>12</v>
      </c>
    </row>
    <row r="340" spans="1:6" x14ac:dyDescent="0.2">
      <c r="A340" s="1" t="s">
        <v>13</v>
      </c>
      <c r="B340" s="1" t="s">
        <v>579</v>
      </c>
      <c r="C340" s="1" t="str">
        <f t="shared" si="15"/>
        <v>ceylin</v>
      </c>
      <c r="D340" s="1" t="str">
        <f t="shared" si="16"/>
        <v>caglar</v>
      </c>
      <c r="E340" s="1" t="str">
        <f t="shared" si="17"/>
        <v>ceylin.caglar@martinus-gymnasium.de</v>
      </c>
      <c r="F340">
        <v>12</v>
      </c>
    </row>
    <row r="341" spans="1:6" x14ac:dyDescent="0.2">
      <c r="A341" s="1" t="s">
        <v>580</v>
      </c>
      <c r="B341" s="1" t="s">
        <v>581</v>
      </c>
      <c r="C341" s="1" t="str">
        <f t="shared" si="15"/>
        <v>cagatay</v>
      </c>
      <c r="D341" s="1" t="str">
        <f t="shared" si="16"/>
        <v>can</v>
      </c>
      <c r="E341" s="1" t="str">
        <f t="shared" si="17"/>
        <v>cagatay.can@martinus-gymnasium.de</v>
      </c>
      <c r="F341">
        <v>12</v>
      </c>
    </row>
    <row r="342" spans="1:6" x14ac:dyDescent="0.2">
      <c r="A342" s="1" t="s">
        <v>15</v>
      </c>
      <c r="B342" s="1" t="s">
        <v>22</v>
      </c>
      <c r="C342" s="1" t="str">
        <f t="shared" si="15"/>
        <v>leonie</v>
      </c>
      <c r="D342" s="1" t="str">
        <f t="shared" si="16"/>
        <v>carmona.rodriguez</v>
      </c>
      <c r="E342" s="1" t="str">
        <f t="shared" si="17"/>
        <v>leonie.carmona.rodriguez@martinus-gymnasium.de</v>
      </c>
      <c r="F342">
        <v>12</v>
      </c>
    </row>
    <row r="343" spans="1:6" x14ac:dyDescent="0.2">
      <c r="A343" s="1" t="s">
        <v>582</v>
      </c>
      <c r="B343" s="1" t="s">
        <v>583</v>
      </c>
      <c r="C343" s="1" t="str">
        <f t="shared" si="15"/>
        <v>valentina</v>
      </c>
      <c r="D343" s="1" t="str">
        <f t="shared" si="16"/>
        <v>ciancia</v>
      </c>
      <c r="E343" s="1" t="str">
        <f t="shared" si="17"/>
        <v>valentina.ciancia@martinus-gymnasium.de</v>
      </c>
      <c r="F343">
        <v>12</v>
      </c>
    </row>
    <row r="344" spans="1:6" x14ac:dyDescent="0.2">
      <c r="A344" s="1" t="s">
        <v>584</v>
      </c>
      <c r="B344" s="1" t="s">
        <v>585</v>
      </c>
      <c r="C344" s="1" t="str">
        <f t="shared" si="15"/>
        <v>lion</v>
      </c>
      <c r="D344" s="1" t="str">
        <f t="shared" si="16"/>
        <v>debus</v>
      </c>
      <c r="E344" s="1" t="str">
        <f t="shared" si="17"/>
        <v>lion.debus@martinus-gymnasium.de</v>
      </c>
      <c r="F344">
        <v>12</v>
      </c>
    </row>
    <row r="345" spans="1:6" x14ac:dyDescent="0.2">
      <c r="A345" s="1" t="s">
        <v>586</v>
      </c>
      <c r="B345" s="1" t="s">
        <v>93</v>
      </c>
      <c r="C345" s="1" t="str">
        <f t="shared" si="15"/>
        <v>sophie</v>
      </c>
      <c r="D345" s="1" t="str">
        <f t="shared" si="16"/>
        <v>dick</v>
      </c>
      <c r="E345" s="1" t="str">
        <f t="shared" si="17"/>
        <v>sophie.dick@martinus-gymnasium.de</v>
      </c>
      <c r="F345">
        <v>12</v>
      </c>
    </row>
    <row r="346" spans="1:6" x14ac:dyDescent="0.2">
      <c r="A346" s="1" t="s">
        <v>587</v>
      </c>
      <c r="B346" s="1" t="s">
        <v>588</v>
      </c>
      <c r="C346" s="1" t="str">
        <f t="shared" si="15"/>
        <v>kian</v>
      </c>
      <c r="D346" s="1" t="str">
        <f t="shared" si="16"/>
        <v>emmel</v>
      </c>
      <c r="E346" s="1" t="str">
        <f t="shared" si="17"/>
        <v>kian.emmel@martinus-gymnasium.de</v>
      </c>
      <c r="F346">
        <v>12</v>
      </c>
    </row>
    <row r="347" spans="1:6" x14ac:dyDescent="0.2">
      <c r="A347" s="1" t="s">
        <v>346</v>
      </c>
      <c r="B347" s="1" t="s">
        <v>589</v>
      </c>
      <c r="C347" s="1" t="str">
        <f t="shared" si="15"/>
        <v>laser</v>
      </c>
      <c r="D347" s="1" t="str">
        <f t="shared" si="16"/>
        <v>ergin</v>
      </c>
      <c r="E347" s="1" t="str">
        <f t="shared" si="17"/>
        <v>laser.ergin@martinus-gymnasium.de</v>
      </c>
      <c r="F347">
        <v>12</v>
      </c>
    </row>
    <row r="348" spans="1:6" x14ac:dyDescent="0.2">
      <c r="A348" s="1" t="s">
        <v>590</v>
      </c>
      <c r="B348" s="1" t="s">
        <v>138</v>
      </c>
      <c r="C348" s="1" t="str">
        <f t="shared" si="15"/>
        <v>luca</v>
      </c>
      <c r="D348" s="1" t="str">
        <f t="shared" si="16"/>
        <v>freiseis</v>
      </c>
      <c r="E348" s="1" t="str">
        <f t="shared" si="17"/>
        <v>luca.freiseis@martinus-gymnasium.de</v>
      </c>
      <c r="F348">
        <v>12</v>
      </c>
    </row>
    <row r="349" spans="1:6" x14ac:dyDescent="0.2">
      <c r="A349" s="1" t="s">
        <v>591</v>
      </c>
      <c r="B349" s="1" t="s">
        <v>128</v>
      </c>
      <c r="C349" s="1" t="str">
        <f t="shared" si="15"/>
        <v>mia</v>
      </c>
      <c r="D349" s="1" t="str">
        <f t="shared" si="16"/>
        <v>frerk</v>
      </c>
      <c r="E349" s="1" t="str">
        <f t="shared" si="17"/>
        <v>mia.frerk@martinus-gymnasium.de</v>
      </c>
      <c r="F349">
        <v>12</v>
      </c>
    </row>
    <row r="350" spans="1:6" x14ac:dyDescent="0.2">
      <c r="A350" s="1" t="s">
        <v>592</v>
      </c>
      <c r="B350" s="1" t="s">
        <v>67</v>
      </c>
      <c r="C350" s="1" t="str">
        <f t="shared" si="15"/>
        <v>jonas</v>
      </c>
      <c r="D350" s="1" t="str">
        <f t="shared" si="16"/>
        <v>fritzen</v>
      </c>
      <c r="E350" s="1" t="str">
        <f t="shared" si="17"/>
        <v>jonas.fritzen@martinus-gymnasium.de</v>
      </c>
      <c r="F350">
        <v>12</v>
      </c>
    </row>
    <row r="351" spans="1:6" x14ac:dyDescent="0.2">
      <c r="A351" s="1" t="s">
        <v>271</v>
      </c>
      <c r="B351" s="1" t="s">
        <v>593</v>
      </c>
      <c r="C351" s="1" t="str">
        <f t="shared" si="15"/>
        <v>elian</v>
      </c>
      <c r="D351" s="1" t="str">
        <f t="shared" si="16"/>
        <v>gashi</v>
      </c>
      <c r="E351" s="1" t="str">
        <f t="shared" si="17"/>
        <v>elian.gashi@martinus-gymnasium.de</v>
      </c>
      <c r="F351">
        <v>12</v>
      </c>
    </row>
    <row r="352" spans="1:6" x14ac:dyDescent="0.2">
      <c r="A352" s="1" t="s">
        <v>172</v>
      </c>
      <c r="B352" s="1" t="s">
        <v>362</v>
      </c>
      <c r="C352" s="1" t="str">
        <f t="shared" si="15"/>
        <v>anna</v>
      </c>
      <c r="D352" s="1" t="str">
        <f t="shared" si="16"/>
        <v>glaetzner</v>
      </c>
      <c r="E352" s="1" t="str">
        <f t="shared" si="17"/>
        <v>anna.glaetzner@martinus-gymnasium.de</v>
      </c>
      <c r="F352">
        <v>12</v>
      </c>
    </row>
    <row r="353" spans="1:6" x14ac:dyDescent="0.2">
      <c r="A353" s="1" t="s">
        <v>594</v>
      </c>
      <c r="B353" s="1" t="s">
        <v>595</v>
      </c>
      <c r="C353" s="1" t="str">
        <f t="shared" si="15"/>
        <v>caroline</v>
      </c>
      <c r="D353" s="1" t="str">
        <f t="shared" si="16"/>
        <v>grewe</v>
      </c>
      <c r="E353" s="1" t="str">
        <f t="shared" si="17"/>
        <v>caroline.grewe@martinus-gymnasium.de</v>
      </c>
      <c r="F353">
        <v>12</v>
      </c>
    </row>
    <row r="354" spans="1:6" x14ac:dyDescent="0.2">
      <c r="A354" s="1" t="s">
        <v>596</v>
      </c>
      <c r="B354" s="1" t="s">
        <v>32</v>
      </c>
      <c r="C354" s="1" t="str">
        <f t="shared" si="15"/>
        <v>jana</v>
      </c>
      <c r="D354" s="1" t="str">
        <f t="shared" si="16"/>
        <v>gummersbach</v>
      </c>
      <c r="E354" s="1" t="str">
        <f t="shared" si="17"/>
        <v>jana.gummersbach@martinus-gymnasium.de</v>
      </c>
      <c r="F354">
        <v>12</v>
      </c>
    </row>
    <row r="355" spans="1:6" x14ac:dyDescent="0.2">
      <c r="A355" s="1" t="s">
        <v>597</v>
      </c>
      <c r="B355" s="1" t="s">
        <v>388</v>
      </c>
      <c r="C355" s="1" t="str">
        <f t="shared" si="15"/>
        <v>lea</v>
      </c>
      <c r="D355" s="1" t="str">
        <f t="shared" si="16"/>
        <v>habel</v>
      </c>
      <c r="E355" s="1" t="str">
        <f t="shared" si="17"/>
        <v>lea.habel@martinus-gymnasium.de</v>
      </c>
      <c r="F355">
        <v>12</v>
      </c>
    </row>
    <row r="356" spans="1:6" x14ac:dyDescent="0.2">
      <c r="A356" s="1" t="s">
        <v>598</v>
      </c>
      <c r="B356" s="1" t="s">
        <v>75</v>
      </c>
      <c r="C356" s="1" t="str">
        <f t="shared" si="15"/>
        <v>julia</v>
      </c>
      <c r="D356" s="1" t="str">
        <f t="shared" si="16"/>
        <v>hafner</v>
      </c>
      <c r="E356" s="1" t="str">
        <f t="shared" si="17"/>
        <v>julia.hafner@martinus-gymnasium.de</v>
      </c>
      <c r="F356">
        <v>12</v>
      </c>
    </row>
    <row r="357" spans="1:6" x14ac:dyDescent="0.2">
      <c r="A357" s="1" t="s">
        <v>599</v>
      </c>
      <c r="B357" s="1" t="s">
        <v>600</v>
      </c>
      <c r="C357" s="1" t="str">
        <f t="shared" si="15"/>
        <v>benet</v>
      </c>
      <c r="D357" s="1" t="str">
        <f t="shared" si="16"/>
        <v>hasanaj</v>
      </c>
      <c r="E357" s="1" t="str">
        <f t="shared" si="17"/>
        <v>benet.hasanaj@martinus-gymnasium.de</v>
      </c>
      <c r="F357">
        <v>12</v>
      </c>
    </row>
    <row r="358" spans="1:6" x14ac:dyDescent="0.2">
      <c r="A358" s="1" t="s">
        <v>601</v>
      </c>
      <c r="B358" s="1" t="s">
        <v>602</v>
      </c>
      <c r="C358" s="1" t="str">
        <f t="shared" si="15"/>
        <v>mina</v>
      </c>
      <c r="D358" s="1" t="str">
        <f t="shared" si="16"/>
        <v>hecken</v>
      </c>
      <c r="E358" s="1" t="str">
        <f t="shared" si="17"/>
        <v>mina.hecken@martinus-gymnasium.de</v>
      </c>
      <c r="F358">
        <v>12</v>
      </c>
    </row>
    <row r="359" spans="1:6" x14ac:dyDescent="0.2">
      <c r="A359" s="1" t="s">
        <v>603</v>
      </c>
      <c r="B359" s="1" t="s">
        <v>604</v>
      </c>
      <c r="C359" s="1" t="str">
        <f t="shared" si="15"/>
        <v>marc</v>
      </c>
      <c r="D359" s="1" t="str">
        <f t="shared" si="16"/>
        <v>henze</v>
      </c>
      <c r="E359" s="1" t="str">
        <f t="shared" si="17"/>
        <v>marc.henze@martinus-gymnasium.de</v>
      </c>
      <c r="F359">
        <v>12</v>
      </c>
    </row>
    <row r="360" spans="1:6" x14ac:dyDescent="0.2">
      <c r="A360" s="1" t="s">
        <v>605</v>
      </c>
      <c r="B360" s="1" t="s">
        <v>606</v>
      </c>
      <c r="C360" s="1" t="str">
        <f t="shared" si="15"/>
        <v>sophie.pay</v>
      </c>
      <c r="D360" s="1" t="str">
        <f t="shared" si="16"/>
        <v>hofmann</v>
      </c>
      <c r="E360" s="1" t="str">
        <f t="shared" si="17"/>
        <v>sophie.pay.hofmann@martinus-gymnasium.de</v>
      </c>
      <c r="F360">
        <v>12</v>
      </c>
    </row>
    <row r="361" spans="1:6" x14ac:dyDescent="0.2">
      <c r="A361" s="1" t="s">
        <v>607</v>
      </c>
      <c r="B361" s="1" t="s">
        <v>608</v>
      </c>
      <c r="C361" s="1" t="str">
        <f t="shared" si="15"/>
        <v>adina</v>
      </c>
      <c r="D361" s="1" t="str">
        <f t="shared" si="16"/>
        <v>islamovic</v>
      </c>
      <c r="E361" s="1" t="str">
        <f t="shared" si="17"/>
        <v>adina.islamovic@martinus-gymnasium.de</v>
      </c>
      <c r="F361">
        <v>12</v>
      </c>
    </row>
    <row r="362" spans="1:6" x14ac:dyDescent="0.2">
      <c r="A362" s="1" t="s">
        <v>609</v>
      </c>
      <c r="B362" s="1" t="s">
        <v>468</v>
      </c>
      <c r="C362" s="1" t="str">
        <f t="shared" si="15"/>
        <v>philip</v>
      </c>
      <c r="D362" s="1" t="str">
        <f t="shared" si="16"/>
        <v>jirowetz</v>
      </c>
      <c r="E362" s="1" t="str">
        <f t="shared" si="17"/>
        <v>philip.jirowetz@martinus-gymnasium.de</v>
      </c>
      <c r="F362">
        <v>12</v>
      </c>
    </row>
    <row r="363" spans="1:6" x14ac:dyDescent="0.2">
      <c r="A363" s="1" t="s">
        <v>610</v>
      </c>
      <c r="B363" s="1" t="s">
        <v>611</v>
      </c>
      <c r="C363" s="1" t="str">
        <f t="shared" si="15"/>
        <v>eva</v>
      </c>
      <c r="D363" s="1" t="str">
        <f t="shared" si="16"/>
        <v>jodl</v>
      </c>
      <c r="E363" s="1" t="str">
        <f t="shared" si="17"/>
        <v>eva.jodl@martinus-gymnasium.de</v>
      </c>
      <c r="F363">
        <v>12</v>
      </c>
    </row>
    <row r="364" spans="1:6" x14ac:dyDescent="0.2">
      <c r="A364" s="1" t="s">
        <v>610</v>
      </c>
      <c r="B364" s="1" t="s">
        <v>612</v>
      </c>
      <c r="C364" s="1" t="str">
        <f t="shared" si="15"/>
        <v>franziska</v>
      </c>
      <c r="D364" s="1" t="str">
        <f t="shared" si="16"/>
        <v>jodl</v>
      </c>
      <c r="E364" s="1" t="str">
        <f t="shared" si="17"/>
        <v>franziska.jodl@martinus-gymnasium.de</v>
      </c>
      <c r="F364">
        <v>12</v>
      </c>
    </row>
    <row r="365" spans="1:6" x14ac:dyDescent="0.2">
      <c r="A365" s="1" t="s">
        <v>276</v>
      </c>
      <c r="B365" s="1" t="s">
        <v>200</v>
      </c>
      <c r="C365" s="1" t="str">
        <f t="shared" si="15"/>
        <v>fabian</v>
      </c>
      <c r="D365" s="1" t="str">
        <f t="shared" si="16"/>
        <v>juette</v>
      </c>
      <c r="E365" s="1" t="str">
        <f t="shared" si="17"/>
        <v>fabian.juette@martinus-gymnasium.de</v>
      </c>
      <c r="F365">
        <v>12</v>
      </c>
    </row>
    <row r="366" spans="1:6" x14ac:dyDescent="0.2">
      <c r="A366" s="1" t="s">
        <v>351</v>
      </c>
      <c r="B366" s="1" t="s">
        <v>398</v>
      </c>
      <c r="C366" s="1" t="str">
        <f t="shared" si="15"/>
        <v>johanna</v>
      </c>
      <c r="D366" s="1" t="str">
        <f t="shared" si="16"/>
        <v>kaminski</v>
      </c>
      <c r="E366" s="1" t="str">
        <f t="shared" si="17"/>
        <v>johanna.kaminski@martinus-gymnasium.de</v>
      </c>
      <c r="F366">
        <v>12</v>
      </c>
    </row>
    <row r="367" spans="1:6" x14ac:dyDescent="0.2">
      <c r="A367" s="1" t="s">
        <v>173</v>
      </c>
      <c r="B367" s="1" t="s">
        <v>128</v>
      </c>
      <c r="C367" s="1" t="str">
        <f t="shared" si="15"/>
        <v>mia</v>
      </c>
      <c r="D367" s="1" t="str">
        <f t="shared" si="16"/>
        <v>kauferstein</v>
      </c>
      <c r="E367" s="1" t="str">
        <f t="shared" si="17"/>
        <v>mia.kauferstein@martinus-gymnasium.de</v>
      </c>
      <c r="F367">
        <v>12</v>
      </c>
    </row>
    <row r="368" spans="1:6" x14ac:dyDescent="0.2">
      <c r="A368" s="1" t="s">
        <v>385</v>
      </c>
      <c r="B368" s="1" t="s">
        <v>215</v>
      </c>
      <c r="C368" s="1" t="str">
        <f t="shared" si="15"/>
        <v>tobias</v>
      </c>
      <c r="D368" s="1" t="str">
        <f t="shared" si="16"/>
        <v>klein</v>
      </c>
      <c r="E368" s="1" t="str">
        <f t="shared" si="17"/>
        <v>tobias.klein@martinus-gymnasium.de</v>
      </c>
      <c r="F368">
        <v>12</v>
      </c>
    </row>
    <row r="369" spans="1:6" x14ac:dyDescent="0.2">
      <c r="A369" s="1" t="s">
        <v>613</v>
      </c>
      <c r="B369" s="1" t="s">
        <v>614</v>
      </c>
      <c r="C369" s="1" t="str">
        <f t="shared" si="15"/>
        <v>joline</v>
      </c>
      <c r="D369" s="1" t="str">
        <f t="shared" si="16"/>
        <v>klescher</v>
      </c>
      <c r="E369" s="1" t="str">
        <f t="shared" si="17"/>
        <v>joline.klescher@martinus-gymnasium.de</v>
      </c>
      <c r="F369">
        <v>12</v>
      </c>
    </row>
    <row r="370" spans="1:6" x14ac:dyDescent="0.2">
      <c r="A370" s="1" t="s">
        <v>615</v>
      </c>
      <c r="B370" s="1" t="s">
        <v>616</v>
      </c>
      <c r="C370" s="1" t="str">
        <f t="shared" si="15"/>
        <v>philipp.lennart</v>
      </c>
      <c r="D370" s="1" t="str">
        <f t="shared" si="16"/>
        <v>kossmann</v>
      </c>
      <c r="E370" s="1" t="str">
        <f t="shared" si="17"/>
        <v>philipp.lennart.kossmann@martinus-gymnasium.de</v>
      </c>
      <c r="F370">
        <v>12</v>
      </c>
    </row>
    <row r="371" spans="1:6" x14ac:dyDescent="0.2">
      <c r="A371" s="1" t="s">
        <v>617</v>
      </c>
      <c r="B371" s="1" t="s">
        <v>618</v>
      </c>
      <c r="C371" s="1" t="str">
        <f t="shared" si="15"/>
        <v>zainab</v>
      </c>
      <c r="D371" s="1" t="str">
        <f t="shared" si="16"/>
        <v>kouraichi</v>
      </c>
      <c r="E371" s="1" t="str">
        <f t="shared" si="17"/>
        <v>zainab.kouraichi@martinus-gymnasium.de</v>
      </c>
      <c r="F371">
        <v>12</v>
      </c>
    </row>
    <row r="372" spans="1:6" x14ac:dyDescent="0.2">
      <c r="A372" s="1" t="s">
        <v>619</v>
      </c>
      <c r="B372" s="1" t="s">
        <v>620</v>
      </c>
      <c r="C372" s="1" t="str">
        <f t="shared" si="15"/>
        <v>zozan</v>
      </c>
      <c r="D372" s="1" t="str">
        <f t="shared" si="16"/>
        <v>koyuncu</v>
      </c>
      <c r="E372" s="1" t="str">
        <f t="shared" si="17"/>
        <v>zozan.koyuncu@martinus-gymnasium.de</v>
      </c>
      <c r="F372">
        <v>12</v>
      </c>
    </row>
    <row r="373" spans="1:6" x14ac:dyDescent="0.2">
      <c r="A373" s="1" t="s">
        <v>621</v>
      </c>
      <c r="B373" s="1" t="s">
        <v>622</v>
      </c>
      <c r="C373" s="1" t="str">
        <f t="shared" si="15"/>
        <v>leonit</v>
      </c>
      <c r="D373" s="1" t="str">
        <f t="shared" si="16"/>
        <v>kuqi</v>
      </c>
      <c r="E373" s="1" t="str">
        <f t="shared" si="17"/>
        <v>leonit.kuqi@martinus-gymnasium.de</v>
      </c>
      <c r="F373">
        <v>12</v>
      </c>
    </row>
    <row r="374" spans="1:6" x14ac:dyDescent="0.2">
      <c r="A374" s="1" t="s">
        <v>230</v>
      </c>
      <c r="B374" s="1" t="s">
        <v>623</v>
      </c>
      <c r="C374" s="1" t="str">
        <f t="shared" si="15"/>
        <v>yuna.amelie</v>
      </c>
      <c r="D374" s="1" t="str">
        <f t="shared" si="16"/>
        <v>lange</v>
      </c>
      <c r="E374" s="1" t="str">
        <f t="shared" si="17"/>
        <v>yuna.amelie.lange@martinus-gymnasium.de</v>
      </c>
      <c r="F374">
        <v>12</v>
      </c>
    </row>
    <row r="375" spans="1:6" x14ac:dyDescent="0.2">
      <c r="A375" s="1" t="s">
        <v>624</v>
      </c>
      <c r="B375" s="1" t="s">
        <v>625</v>
      </c>
      <c r="C375" s="1" t="str">
        <f t="shared" si="15"/>
        <v>ruben.fynn</v>
      </c>
      <c r="D375" s="1" t="str">
        <f t="shared" si="16"/>
        <v>lecher</v>
      </c>
      <c r="E375" s="1" t="str">
        <f t="shared" si="17"/>
        <v>ruben.fynn.lecher@martinus-gymnasium.de</v>
      </c>
      <c r="F375">
        <v>12</v>
      </c>
    </row>
    <row r="376" spans="1:6" x14ac:dyDescent="0.2">
      <c r="A376" s="1" t="s">
        <v>626</v>
      </c>
      <c r="B376" s="1" t="s">
        <v>627</v>
      </c>
      <c r="C376" s="1" t="str">
        <f t="shared" ref="C376:C417" si="18">LOWER(SUBSTITUTE(SUBSTITUTE(SUBSTITUTE(SUBSTITUTE(SUBSTITUTE(SUBSTITUTE(SUBSTITUTE(SUBSTITUTE(SUBSTITUTE(SUBSTITUTE(SUBSTITUTE(B376," ","."),"-","."),"ä","ae"),"ö","oe"),"ü","ue"),"ß","ss"),"é","e"),"ú","u"),"á","a"),"Ł","L"),"ł","l"))</f>
        <v>dominik.jonathan</v>
      </c>
      <c r="D376" s="1" t="str">
        <f t="shared" ref="D376:D417" si="19">LOWER(SUBSTITUTE(SUBSTITUTE(SUBSTITUTE(SUBSTITUTE(SUBSTITUTE(SUBSTITUTE(SUBSTITUTE(SUBSTITUTE(SUBSTITUTE(SUBSTITUTE(SUBSTITUTE(A376," ","."),"-","."),"ä","ae"),"ö","oe"),"ü","ue"),"ß","ss"),"é","e"),"ú","u"),"á","a"),"Ł","L"),"ł","l"))</f>
        <v>meixner</v>
      </c>
      <c r="E376" s="1" t="str">
        <f t="shared" si="17"/>
        <v>dominik.jonathan.meixner@martinus-gymnasium.de</v>
      </c>
      <c r="F376">
        <v>12</v>
      </c>
    </row>
    <row r="377" spans="1:6" x14ac:dyDescent="0.2">
      <c r="A377" s="1" t="s">
        <v>628</v>
      </c>
      <c r="B377" s="1" t="s">
        <v>629</v>
      </c>
      <c r="C377" s="1" t="str">
        <f t="shared" si="18"/>
        <v>jens.christian</v>
      </c>
      <c r="D377" s="1" t="str">
        <f t="shared" si="19"/>
        <v>meller</v>
      </c>
      <c r="E377" s="1" t="str">
        <f t="shared" si="17"/>
        <v>jens.christian.meller@martinus-gymnasium.de</v>
      </c>
      <c r="F377">
        <v>12</v>
      </c>
    </row>
    <row r="378" spans="1:6" x14ac:dyDescent="0.2">
      <c r="A378" s="1" t="s">
        <v>630</v>
      </c>
      <c r="B378" s="1" t="s">
        <v>631</v>
      </c>
      <c r="C378" s="1" t="str">
        <f t="shared" si="18"/>
        <v>mateusz</v>
      </c>
      <c r="D378" s="1" t="str">
        <f t="shared" si="19"/>
        <v>mendykowski</v>
      </c>
      <c r="E378" s="1" t="str">
        <f t="shared" si="17"/>
        <v>mateusz.mendykowski@martinus-gymnasium.de</v>
      </c>
      <c r="F378">
        <v>12</v>
      </c>
    </row>
    <row r="379" spans="1:6" x14ac:dyDescent="0.2">
      <c r="A379" s="1" t="s">
        <v>234</v>
      </c>
      <c r="B379" s="1" t="s">
        <v>632</v>
      </c>
      <c r="C379" s="1" t="str">
        <f t="shared" si="18"/>
        <v>anneke</v>
      </c>
      <c r="D379" s="1" t="str">
        <f t="shared" si="19"/>
        <v>moll</v>
      </c>
      <c r="E379" s="1" t="str">
        <f t="shared" si="17"/>
        <v>anneke.moll@martinus-gymnasium.de</v>
      </c>
      <c r="F379">
        <v>12</v>
      </c>
    </row>
    <row r="380" spans="1:6" x14ac:dyDescent="0.2">
      <c r="A380" s="1" t="s">
        <v>633</v>
      </c>
      <c r="B380" s="1" t="s">
        <v>634</v>
      </c>
      <c r="C380" s="1" t="str">
        <f t="shared" si="18"/>
        <v>aleksandra</v>
      </c>
      <c r="D380" s="1" t="str">
        <f t="shared" si="19"/>
        <v>mroz</v>
      </c>
      <c r="E380" s="1" t="str">
        <f t="shared" si="17"/>
        <v>aleksandra.mroz@martinus-gymnasium.de</v>
      </c>
      <c r="F380">
        <v>12</v>
      </c>
    </row>
    <row r="381" spans="1:6" x14ac:dyDescent="0.2">
      <c r="A381" s="1" t="s">
        <v>635</v>
      </c>
      <c r="B381" s="1" t="s">
        <v>636</v>
      </c>
      <c r="C381" s="1" t="str">
        <f t="shared" si="18"/>
        <v>denis</v>
      </c>
      <c r="D381" s="1" t="str">
        <f t="shared" si="19"/>
        <v>muratovic</v>
      </c>
      <c r="E381" s="1" t="str">
        <f t="shared" si="17"/>
        <v>denis.muratovic@martinus-gymnasium.de</v>
      </c>
      <c r="F381">
        <v>12</v>
      </c>
    </row>
    <row r="382" spans="1:6" x14ac:dyDescent="0.2">
      <c r="A382" s="1" t="s">
        <v>637</v>
      </c>
      <c r="B382" s="1" t="s">
        <v>638</v>
      </c>
      <c r="C382" s="1" t="str">
        <f t="shared" si="18"/>
        <v>maël.damai.alexis.august</v>
      </c>
      <c r="D382" s="1" t="str">
        <f t="shared" si="19"/>
        <v>nasution</v>
      </c>
      <c r="E382" s="1" t="str">
        <f t="shared" si="17"/>
        <v>maël.damai.alexis.august.nasution@martinus-gymnasium.de</v>
      </c>
      <c r="F382">
        <v>12</v>
      </c>
    </row>
    <row r="383" spans="1:6" x14ac:dyDescent="0.2">
      <c r="A383" s="1" t="s">
        <v>143</v>
      </c>
      <c r="B383" s="1" t="s">
        <v>639</v>
      </c>
      <c r="C383" s="1" t="str">
        <f t="shared" si="18"/>
        <v>quang.sinh</v>
      </c>
      <c r="D383" s="1" t="str">
        <f t="shared" si="19"/>
        <v>nguyen</v>
      </c>
      <c r="E383" s="1" t="str">
        <f t="shared" si="17"/>
        <v>quang.sinh.nguyen@martinus-gymnasium.de</v>
      </c>
      <c r="F383">
        <v>12</v>
      </c>
    </row>
    <row r="384" spans="1:6" x14ac:dyDescent="0.2">
      <c r="A384" s="1" t="s">
        <v>640</v>
      </c>
      <c r="B384" s="1" t="s">
        <v>187</v>
      </c>
      <c r="C384" s="1" t="str">
        <f t="shared" si="18"/>
        <v>hannah</v>
      </c>
      <c r="D384" s="1" t="str">
        <f t="shared" si="19"/>
        <v>ohly</v>
      </c>
      <c r="E384" s="1" t="str">
        <f t="shared" si="17"/>
        <v>hannah.ohly@martinus-gymnasium.de</v>
      </c>
      <c r="F384">
        <v>12</v>
      </c>
    </row>
    <row r="385" spans="1:6" x14ac:dyDescent="0.2">
      <c r="A385" s="1" t="s">
        <v>641</v>
      </c>
      <c r="B385" s="1" t="s">
        <v>270</v>
      </c>
      <c r="C385" s="1" t="str">
        <f t="shared" si="18"/>
        <v>david</v>
      </c>
      <c r="D385" s="1" t="str">
        <f t="shared" si="19"/>
        <v>padure</v>
      </c>
      <c r="E385" s="1" t="str">
        <f t="shared" si="17"/>
        <v>david.padure@martinus-gymnasium.de</v>
      </c>
      <c r="F385">
        <v>12</v>
      </c>
    </row>
    <row r="386" spans="1:6" x14ac:dyDescent="0.2">
      <c r="A386" s="1" t="s">
        <v>642</v>
      </c>
      <c r="B386" s="1" t="s">
        <v>643</v>
      </c>
      <c r="C386" s="1" t="str">
        <f t="shared" si="18"/>
        <v>max.constantin</v>
      </c>
      <c r="D386" s="1" t="str">
        <f t="shared" si="19"/>
        <v>philippsen</v>
      </c>
      <c r="E386" s="1" t="str">
        <f t="shared" si="17"/>
        <v>max.constantin.philippsen@martinus-gymnasium.de</v>
      </c>
      <c r="F386">
        <v>12</v>
      </c>
    </row>
    <row r="387" spans="1:6" x14ac:dyDescent="0.2">
      <c r="A387" s="1" t="s">
        <v>147</v>
      </c>
      <c r="B387" s="1" t="s">
        <v>644</v>
      </c>
      <c r="C387" s="1" t="str">
        <f t="shared" si="18"/>
        <v>paul.alexander</v>
      </c>
      <c r="D387" s="1" t="str">
        <f t="shared" si="19"/>
        <v>pogorelow</v>
      </c>
      <c r="E387" s="1" t="str">
        <f t="shared" ref="E387:E417" si="20">C387&amp;"."&amp;D387&amp;"@martinus-gymnasium.de"</f>
        <v>paul.alexander.pogorelow@martinus-gymnasium.de</v>
      </c>
      <c r="F387">
        <v>12</v>
      </c>
    </row>
    <row r="388" spans="1:6" x14ac:dyDescent="0.2">
      <c r="A388" s="1" t="s">
        <v>241</v>
      </c>
      <c r="B388" s="1" t="s">
        <v>645</v>
      </c>
      <c r="C388" s="1" t="str">
        <f t="shared" si="18"/>
        <v>helene</v>
      </c>
      <c r="D388" s="1" t="str">
        <f t="shared" si="19"/>
        <v>reetz</v>
      </c>
      <c r="E388" s="1" t="str">
        <f t="shared" si="20"/>
        <v>helene.reetz@martinus-gymnasium.de</v>
      </c>
      <c r="F388">
        <v>12</v>
      </c>
    </row>
    <row r="389" spans="1:6" x14ac:dyDescent="0.2">
      <c r="A389" s="1" t="s">
        <v>646</v>
      </c>
      <c r="B389" s="1" t="s">
        <v>398</v>
      </c>
      <c r="C389" s="1" t="str">
        <f t="shared" si="18"/>
        <v>johanna</v>
      </c>
      <c r="D389" s="1" t="str">
        <f t="shared" si="19"/>
        <v>reither</v>
      </c>
      <c r="E389" s="1" t="str">
        <f t="shared" si="20"/>
        <v>johanna.reither@martinus-gymnasium.de</v>
      </c>
      <c r="F389">
        <v>12</v>
      </c>
    </row>
    <row r="390" spans="1:6" x14ac:dyDescent="0.2">
      <c r="A390" s="1" t="s">
        <v>647</v>
      </c>
      <c r="B390" s="1" t="s">
        <v>187</v>
      </c>
      <c r="C390" s="1" t="str">
        <f t="shared" si="18"/>
        <v>hannah</v>
      </c>
      <c r="D390" s="1" t="str">
        <f t="shared" si="19"/>
        <v>reuter</v>
      </c>
      <c r="E390" s="1" t="str">
        <f t="shared" si="20"/>
        <v>hannah.reuter@martinus-gymnasium.de</v>
      </c>
      <c r="F390">
        <v>12</v>
      </c>
    </row>
    <row r="391" spans="1:6" x14ac:dyDescent="0.2">
      <c r="A391" s="1" t="s">
        <v>647</v>
      </c>
      <c r="B391" s="1" t="s">
        <v>352</v>
      </c>
      <c r="C391" s="1" t="str">
        <f t="shared" si="18"/>
        <v>lisa</v>
      </c>
      <c r="D391" s="1" t="str">
        <f t="shared" si="19"/>
        <v>reuter</v>
      </c>
      <c r="E391" s="1" t="str">
        <f t="shared" si="20"/>
        <v>lisa.reuter@martinus-gymnasium.de</v>
      </c>
      <c r="F391">
        <v>12</v>
      </c>
    </row>
    <row r="392" spans="1:6" x14ac:dyDescent="0.2">
      <c r="A392" s="1" t="s">
        <v>245</v>
      </c>
      <c r="B392" s="1" t="s">
        <v>61</v>
      </c>
      <c r="C392" s="1" t="str">
        <f t="shared" si="18"/>
        <v>julian</v>
      </c>
      <c r="D392" s="1" t="str">
        <f t="shared" si="19"/>
        <v>richarz</v>
      </c>
      <c r="E392" s="1" t="str">
        <f t="shared" si="20"/>
        <v>julian.richarz@martinus-gymnasium.de</v>
      </c>
      <c r="F392">
        <v>12</v>
      </c>
    </row>
    <row r="393" spans="1:6" x14ac:dyDescent="0.2">
      <c r="A393" s="1" t="s">
        <v>247</v>
      </c>
      <c r="B393" s="1" t="s">
        <v>67</v>
      </c>
      <c r="C393" s="1" t="str">
        <f t="shared" si="18"/>
        <v>jonas</v>
      </c>
      <c r="D393" s="1" t="str">
        <f t="shared" si="19"/>
        <v>roemer</v>
      </c>
      <c r="E393" s="1" t="str">
        <f t="shared" si="20"/>
        <v>jonas.roemer@martinus-gymnasium.de</v>
      </c>
      <c r="F393">
        <v>12</v>
      </c>
    </row>
    <row r="394" spans="1:6" x14ac:dyDescent="0.2">
      <c r="A394" s="1" t="s">
        <v>248</v>
      </c>
      <c r="B394" s="1" t="s">
        <v>179</v>
      </c>
      <c r="C394" s="1" t="str">
        <f t="shared" si="18"/>
        <v>ronja</v>
      </c>
      <c r="D394" s="1" t="str">
        <f t="shared" si="19"/>
        <v>rondot</v>
      </c>
      <c r="E394" s="1" t="str">
        <f t="shared" si="20"/>
        <v>ronja.rondot@martinus-gymnasium.de</v>
      </c>
      <c r="F394">
        <v>12</v>
      </c>
    </row>
    <row r="395" spans="1:6" x14ac:dyDescent="0.2">
      <c r="A395" s="1" t="s">
        <v>41</v>
      </c>
      <c r="B395" s="1" t="s">
        <v>648</v>
      </c>
      <c r="C395" s="1" t="str">
        <f t="shared" si="18"/>
        <v>ayla</v>
      </c>
      <c r="D395" s="1" t="str">
        <f t="shared" si="19"/>
        <v>ruthenbeck</v>
      </c>
      <c r="E395" s="1" t="str">
        <f t="shared" si="20"/>
        <v>ayla.ruthenbeck@martinus-gymnasium.de</v>
      </c>
      <c r="F395">
        <v>12</v>
      </c>
    </row>
    <row r="396" spans="1:6" x14ac:dyDescent="0.2">
      <c r="A396" s="1" t="s">
        <v>649</v>
      </c>
      <c r="B396" s="1" t="s">
        <v>126</v>
      </c>
      <c r="C396" s="1" t="str">
        <f t="shared" si="18"/>
        <v>emilia</v>
      </c>
      <c r="D396" s="1" t="str">
        <f t="shared" si="19"/>
        <v>rys</v>
      </c>
      <c r="E396" s="1" t="str">
        <f t="shared" si="20"/>
        <v>emilia.rys@martinus-gymnasium.de</v>
      </c>
      <c r="F396">
        <v>12</v>
      </c>
    </row>
    <row r="397" spans="1:6" x14ac:dyDescent="0.2">
      <c r="A397" s="1" t="s">
        <v>324</v>
      </c>
      <c r="B397" s="1" t="s">
        <v>650</v>
      </c>
      <c r="C397" s="1" t="str">
        <f t="shared" si="18"/>
        <v>lennart.jakob.johannes</v>
      </c>
      <c r="D397" s="1" t="str">
        <f t="shared" si="19"/>
        <v>schaefer</v>
      </c>
      <c r="E397" s="1" t="str">
        <f t="shared" si="20"/>
        <v>lennart.jakob.johannes.schaefer@martinus-gymnasium.de</v>
      </c>
      <c r="F397">
        <v>12</v>
      </c>
    </row>
    <row r="398" spans="1:6" x14ac:dyDescent="0.2">
      <c r="A398" s="1" t="s">
        <v>651</v>
      </c>
      <c r="B398" s="1" t="s">
        <v>652</v>
      </c>
      <c r="C398" s="1" t="str">
        <f t="shared" si="18"/>
        <v>zoe</v>
      </c>
      <c r="D398" s="1" t="str">
        <f t="shared" si="19"/>
        <v>scherer</v>
      </c>
      <c r="E398" s="1" t="str">
        <f t="shared" si="20"/>
        <v>zoe.scherer@martinus-gymnasium.de</v>
      </c>
      <c r="F398">
        <v>12</v>
      </c>
    </row>
    <row r="399" spans="1:6" x14ac:dyDescent="0.2">
      <c r="A399" s="1" t="s">
        <v>653</v>
      </c>
      <c r="B399" s="1" t="s">
        <v>654</v>
      </c>
      <c r="C399" s="1" t="str">
        <f t="shared" si="18"/>
        <v>lena.luisa</v>
      </c>
      <c r="D399" s="1" t="str">
        <f t="shared" si="19"/>
        <v>schlochtermeier</v>
      </c>
      <c r="E399" s="1" t="str">
        <f t="shared" si="20"/>
        <v>lena.luisa.schlochtermeier@martinus-gymnasium.de</v>
      </c>
      <c r="F399">
        <v>12</v>
      </c>
    </row>
    <row r="400" spans="1:6" x14ac:dyDescent="0.2">
      <c r="A400" s="1" t="s">
        <v>45</v>
      </c>
      <c r="B400" s="1" t="s">
        <v>270</v>
      </c>
      <c r="C400" s="1" t="str">
        <f t="shared" si="18"/>
        <v>david</v>
      </c>
      <c r="D400" s="1" t="str">
        <f t="shared" si="19"/>
        <v>schmitz</v>
      </c>
      <c r="E400" s="1" t="str">
        <f t="shared" si="20"/>
        <v>david.schmitz@martinus-gymnasium.de</v>
      </c>
      <c r="F400">
        <v>12</v>
      </c>
    </row>
    <row r="401" spans="1:6" x14ac:dyDescent="0.2">
      <c r="A401" s="1" t="s">
        <v>47</v>
      </c>
      <c r="B401" s="1" t="s">
        <v>655</v>
      </c>
      <c r="C401" s="1" t="str">
        <f t="shared" si="18"/>
        <v>denise</v>
      </c>
      <c r="D401" s="1" t="str">
        <f t="shared" si="19"/>
        <v>schneider</v>
      </c>
      <c r="E401" s="1" t="str">
        <f t="shared" si="20"/>
        <v>denise.schneider@martinus-gymnasium.de</v>
      </c>
      <c r="F401">
        <v>12</v>
      </c>
    </row>
    <row r="402" spans="1:6" x14ac:dyDescent="0.2">
      <c r="A402" s="1" t="s">
        <v>656</v>
      </c>
      <c r="B402" s="1" t="s">
        <v>473</v>
      </c>
      <c r="C402" s="1" t="str">
        <f t="shared" si="18"/>
        <v>leon</v>
      </c>
      <c r="D402" s="1" t="str">
        <f t="shared" si="19"/>
        <v>schoenenberg</v>
      </c>
      <c r="E402" s="1" t="str">
        <f t="shared" si="20"/>
        <v>leon.schoenenberg@martinus-gymnasium.de</v>
      </c>
      <c r="F402">
        <v>12</v>
      </c>
    </row>
    <row r="403" spans="1:6" x14ac:dyDescent="0.2">
      <c r="A403" s="1" t="s">
        <v>657</v>
      </c>
      <c r="B403" s="1" t="s">
        <v>658</v>
      </c>
      <c r="C403" s="1" t="str">
        <f t="shared" si="18"/>
        <v>felix.jonathan</v>
      </c>
      <c r="D403" s="1" t="str">
        <f t="shared" si="19"/>
        <v>schumacher</v>
      </c>
      <c r="E403" s="1" t="str">
        <f t="shared" si="20"/>
        <v>felix.jonathan.schumacher@martinus-gymnasium.de</v>
      </c>
      <c r="F403">
        <v>12</v>
      </c>
    </row>
    <row r="404" spans="1:6" x14ac:dyDescent="0.2">
      <c r="A404" s="1" t="s">
        <v>659</v>
      </c>
      <c r="B404" s="1" t="s">
        <v>660</v>
      </c>
      <c r="C404" s="1" t="str">
        <f t="shared" si="18"/>
        <v>armin</v>
      </c>
      <c r="D404" s="1" t="str">
        <f t="shared" si="19"/>
        <v>siljkovic</v>
      </c>
      <c r="E404" s="1" t="str">
        <f t="shared" si="20"/>
        <v>armin.siljkovic@martinus-gymnasium.de</v>
      </c>
      <c r="F404">
        <v>12</v>
      </c>
    </row>
    <row r="405" spans="1:6" x14ac:dyDescent="0.2">
      <c r="A405" s="1" t="s">
        <v>661</v>
      </c>
      <c r="B405" s="1" t="s">
        <v>662</v>
      </c>
      <c r="C405" s="1" t="str">
        <f t="shared" si="18"/>
        <v>johanna.maria</v>
      </c>
      <c r="D405" s="1" t="str">
        <f t="shared" si="19"/>
        <v>simons</v>
      </c>
      <c r="E405" s="1" t="str">
        <f t="shared" si="20"/>
        <v>johanna.maria.simons@martinus-gymnasium.de</v>
      </c>
      <c r="F405">
        <v>12</v>
      </c>
    </row>
    <row r="406" spans="1:6" x14ac:dyDescent="0.2">
      <c r="A406" s="1" t="s">
        <v>328</v>
      </c>
      <c r="B406" s="1" t="s">
        <v>663</v>
      </c>
      <c r="C406" s="1" t="str">
        <f t="shared" si="18"/>
        <v>atakan</v>
      </c>
      <c r="D406" s="1" t="str">
        <f t="shared" si="19"/>
        <v>solak</v>
      </c>
      <c r="E406" s="1" t="str">
        <f t="shared" si="20"/>
        <v>atakan.solak@martinus-gymnasium.de</v>
      </c>
      <c r="F406">
        <v>12</v>
      </c>
    </row>
    <row r="407" spans="1:6" x14ac:dyDescent="0.2">
      <c r="A407" s="1" t="s">
        <v>664</v>
      </c>
      <c r="B407" s="1" t="s">
        <v>665</v>
      </c>
      <c r="C407" s="1" t="str">
        <f t="shared" si="18"/>
        <v>bastian.timon</v>
      </c>
      <c r="D407" s="1" t="str">
        <f t="shared" si="19"/>
        <v>solinski</v>
      </c>
      <c r="E407" s="1" t="str">
        <f t="shared" si="20"/>
        <v>bastian.timon.solinski@martinus-gymnasium.de</v>
      </c>
      <c r="F407">
        <v>12</v>
      </c>
    </row>
    <row r="408" spans="1:6" x14ac:dyDescent="0.2">
      <c r="A408" s="1" t="s">
        <v>666</v>
      </c>
      <c r="B408" s="1" t="s">
        <v>519</v>
      </c>
      <c r="C408" s="1" t="str">
        <f t="shared" si="18"/>
        <v>leni</v>
      </c>
      <c r="D408" s="1" t="str">
        <f t="shared" si="19"/>
        <v>tillmann</v>
      </c>
      <c r="E408" s="1" t="str">
        <f t="shared" si="20"/>
        <v>leni.tillmann@martinus-gymnasium.de</v>
      </c>
      <c r="F408">
        <v>12</v>
      </c>
    </row>
    <row r="409" spans="1:6" x14ac:dyDescent="0.2">
      <c r="A409" s="1" t="s">
        <v>667</v>
      </c>
      <c r="B409" s="1" t="s">
        <v>200</v>
      </c>
      <c r="C409" s="1" t="str">
        <f t="shared" si="18"/>
        <v>fabian</v>
      </c>
      <c r="D409" s="1" t="str">
        <f t="shared" si="19"/>
        <v>traore</v>
      </c>
      <c r="E409" s="1" t="str">
        <f t="shared" si="20"/>
        <v>fabian.traore@martinus-gymnasium.de</v>
      </c>
      <c r="F409">
        <v>12</v>
      </c>
    </row>
    <row r="410" spans="1:6" x14ac:dyDescent="0.2">
      <c r="A410" s="1" t="s">
        <v>668</v>
      </c>
      <c r="B410" s="1" t="s">
        <v>669</v>
      </c>
      <c r="C410" s="1" t="str">
        <f t="shared" si="18"/>
        <v>aaron.sebastian</v>
      </c>
      <c r="D410" s="1" t="str">
        <f t="shared" si="19"/>
        <v>von.bargen</v>
      </c>
      <c r="E410" s="1" t="str">
        <f t="shared" si="20"/>
        <v>aaron.sebastian.von.bargen@martinus-gymnasium.de</v>
      </c>
      <c r="F410">
        <v>12</v>
      </c>
    </row>
    <row r="411" spans="1:6" x14ac:dyDescent="0.2">
      <c r="A411" s="1" t="s">
        <v>558</v>
      </c>
      <c r="B411" s="1" t="s">
        <v>106</v>
      </c>
      <c r="C411" s="1" t="str">
        <f t="shared" si="18"/>
        <v>katharina</v>
      </c>
      <c r="D411" s="1" t="str">
        <f t="shared" si="19"/>
        <v>wagner</v>
      </c>
      <c r="E411" s="1" t="str">
        <f t="shared" si="20"/>
        <v>katharina.wagner@martinus-gymnasium.de</v>
      </c>
      <c r="F411">
        <v>12</v>
      </c>
    </row>
    <row r="412" spans="1:6" x14ac:dyDescent="0.2">
      <c r="A412" s="1" t="s">
        <v>670</v>
      </c>
      <c r="B412" s="1" t="s">
        <v>270</v>
      </c>
      <c r="C412" s="1" t="str">
        <f t="shared" si="18"/>
        <v>david</v>
      </c>
      <c r="D412" s="1" t="str">
        <f t="shared" si="19"/>
        <v>wahab</v>
      </c>
      <c r="E412" s="1" t="str">
        <f t="shared" si="20"/>
        <v>david.wahab@martinus-gymnasium.de</v>
      </c>
      <c r="F412">
        <v>12</v>
      </c>
    </row>
    <row r="413" spans="1:6" x14ac:dyDescent="0.2">
      <c r="A413" s="1" t="s">
        <v>251</v>
      </c>
      <c r="B413" s="1" t="s">
        <v>671</v>
      </c>
      <c r="C413" s="1" t="str">
        <f t="shared" si="18"/>
        <v>daniel</v>
      </c>
      <c r="D413" s="1" t="str">
        <f t="shared" si="19"/>
        <v>waldek</v>
      </c>
      <c r="E413" s="1" t="str">
        <f t="shared" si="20"/>
        <v>daniel.waldek@martinus-gymnasium.de</v>
      </c>
      <c r="F413">
        <v>12</v>
      </c>
    </row>
    <row r="414" spans="1:6" x14ac:dyDescent="0.2">
      <c r="A414" s="1" t="s">
        <v>672</v>
      </c>
      <c r="B414" s="1" t="s">
        <v>673</v>
      </c>
      <c r="C414" s="1" t="str">
        <f t="shared" si="18"/>
        <v>diana</v>
      </c>
      <c r="D414" s="1" t="str">
        <f t="shared" si="19"/>
        <v>wegele</v>
      </c>
      <c r="E414" s="1" t="str">
        <f t="shared" si="20"/>
        <v>diana.wegele@martinus-gymnasium.de</v>
      </c>
      <c r="F414">
        <v>12</v>
      </c>
    </row>
    <row r="415" spans="1:6" x14ac:dyDescent="0.2">
      <c r="A415" s="1" t="s">
        <v>674</v>
      </c>
      <c r="B415" s="1" t="s">
        <v>494</v>
      </c>
      <c r="C415" s="1" t="str">
        <f t="shared" si="18"/>
        <v>tim</v>
      </c>
      <c r="D415" s="1" t="str">
        <f t="shared" si="19"/>
        <v>weiler</v>
      </c>
      <c r="E415" s="1" t="str">
        <f t="shared" si="20"/>
        <v>tim.weiler@martinus-gymnasium.de</v>
      </c>
      <c r="F415">
        <v>12</v>
      </c>
    </row>
    <row r="416" spans="1:6" x14ac:dyDescent="0.2">
      <c r="A416" s="1" t="s">
        <v>675</v>
      </c>
      <c r="B416" s="1" t="s">
        <v>200</v>
      </c>
      <c r="C416" s="1" t="str">
        <f t="shared" si="18"/>
        <v>fabian</v>
      </c>
      <c r="D416" s="1" t="str">
        <f t="shared" si="19"/>
        <v>wolf</v>
      </c>
      <c r="E416" s="1" t="str">
        <f t="shared" si="20"/>
        <v>fabian.wolf@martinus-gymnasium.de</v>
      </c>
      <c r="F416">
        <v>12</v>
      </c>
    </row>
    <row r="417" spans="1:6" x14ac:dyDescent="0.2">
      <c r="A417" s="1" t="s">
        <v>573</v>
      </c>
      <c r="B417" s="1" t="s">
        <v>676</v>
      </c>
      <c r="C417" s="1" t="str">
        <f t="shared" si="18"/>
        <v>nderim</v>
      </c>
      <c r="D417" s="1" t="str">
        <f t="shared" si="19"/>
        <v>zeqa</v>
      </c>
      <c r="E417" s="1" t="str">
        <f t="shared" si="20"/>
        <v>nderim.zeqa@martinus-gymnasium.de</v>
      </c>
      <c r="F417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5C8F-384C-0F46-B5A0-1BF3B2AD33CF}">
  <dimension ref="A1:E417"/>
  <sheetViews>
    <sheetView tabSelected="1" workbookViewId="0">
      <selection activeCell="E2" sqref="E2:E417"/>
    </sheetView>
  </sheetViews>
  <sheetFormatPr baseColWidth="10" defaultRowHeight="15" x14ac:dyDescent="0.2"/>
  <sheetData>
    <row r="1" spans="1:5" ht="19" x14ac:dyDescent="0.25">
      <c r="A1" s="2" t="s">
        <v>688</v>
      </c>
      <c r="B1" s="2" t="s">
        <v>58</v>
      </c>
      <c r="C1" s="2" t="s">
        <v>683</v>
      </c>
      <c r="D1" s="2" t="s">
        <v>684</v>
      </c>
      <c r="E1" s="2" t="s">
        <v>689</v>
      </c>
    </row>
    <row r="2" spans="1:5" x14ac:dyDescent="0.2">
      <c r="A2" t="str">
        <f>SchülerInnen!A2</f>
        <v>Albaiad</v>
      </c>
      <c r="B2" t="str">
        <f>SchülerInnen!B2</f>
        <v>Leen</v>
      </c>
      <c r="C2" t="str">
        <f>SchülerInnen!E2</f>
        <v>leen.albaiad@martinus-gymnasium.de</v>
      </c>
      <c r="D2" t="str">
        <f>SchülerInnen!F2</f>
        <v>8a</v>
      </c>
      <c r="E2" t="str">
        <f>_xlfn.TEXTJOIN(";",FALSE,A2:D2)</f>
        <v>Albaiad;Leen;leen.albaiad@martinus-gymnasium.de;8a</v>
      </c>
    </row>
    <row r="3" spans="1:5" x14ac:dyDescent="0.2">
      <c r="A3" t="str">
        <f>SchülerInnen!A3</f>
        <v>Albatran</v>
      </c>
      <c r="B3" t="str">
        <f>SchülerInnen!B3</f>
        <v>Murhf</v>
      </c>
      <c r="C3" t="str">
        <f>SchülerInnen!E3</f>
        <v>murhf.albatran@martinus-gymnasium.de</v>
      </c>
      <c r="D3" t="str">
        <f>SchülerInnen!F3</f>
        <v>8a</v>
      </c>
      <c r="E3" t="str">
        <f t="shared" ref="E3:E66" si="0">_xlfn.TEXTJOIN(";",FALSE,A3:D3)</f>
        <v>Albatran;Murhf;murhf.albatran@martinus-gymnasium.de;8a</v>
      </c>
    </row>
    <row r="4" spans="1:5" x14ac:dyDescent="0.2">
      <c r="A4" t="str">
        <f>SchülerInnen!A4</f>
        <v>Belilovskiy</v>
      </c>
      <c r="B4" t="str">
        <f>SchülerInnen!B4</f>
        <v>Luka</v>
      </c>
      <c r="C4" t="str">
        <f>SchülerInnen!E4</f>
        <v>luka.belilovskiy@martinus-gymnasium.de</v>
      </c>
      <c r="D4" t="str">
        <f>SchülerInnen!F4</f>
        <v>8a</v>
      </c>
      <c r="E4" t="str">
        <f t="shared" si="0"/>
        <v>Belilovskiy;Luka;luka.belilovskiy@martinus-gymnasium.de;8a</v>
      </c>
    </row>
    <row r="5" spans="1:5" x14ac:dyDescent="0.2">
      <c r="A5" t="str">
        <f>SchülerInnen!A5</f>
        <v>Birrenbach</v>
      </c>
      <c r="B5" t="str">
        <f>SchülerInnen!B5</f>
        <v>Mona</v>
      </c>
      <c r="C5" t="str">
        <f>SchülerInnen!E5</f>
        <v>mona.birrenbach@martinus-gymnasium.de</v>
      </c>
      <c r="D5" t="str">
        <f>SchülerInnen!F5</f>
        <v>8a</v>
      </c>
      <c r="E5" t="str">
        <f t="shared" si="0"/>
        <v>Birrenbach;Mona;mona.birrenbach@martinus-gymnasium.de;8a</v>
      </c>
    </row>
    <row r="6" spans="1:5" x14ac:dyDescent="0.2">
      <c r="A6" t="str">
        <f>SchülerInnen!A6</f>
        <v>Bornheim</v>
      </c>
      <c r="B6" t="str">
        <f>SchülerInnen!B6</f>
        <v>Ben</v>
      </c>
      <c r="C6" t="str">
        <f>SchülerInnen!E6</f>
        <v>ben.bornheim@martinus-gymnasium.de</v>
      </c>
      <c r="D6" t="str">
        <f>SchülerInnen!F6</f>
        <v>8a</v>
      </c>
      <c r="E6" t="str">
        <f t="shared" si="0"/>
        <v>Bornheim;Ben;ben.bornheim@martinus-gymnasium.de;8a</v>
      </c>
    </row>
    <row r="7" spans="1:5" x14ac:dyDescent="0.2">
      <c r="A7" t="str">
        <f>SchülerInnen!A7</f>
        <v>Borodavchuk</v>
      </c>
      <c r="B7" t="str">
        <f>SchülerInnen!B7</f>
        <v>Denys</v>
      </c>
      <c r="C7" t="str">
        <f>SchülerInnen!E7</f>
        <v>denys.borodavchuk@martinus-gymnasium.de</v>
      </c>
      <c r="D7" t="str">
        <f>SchülerInnen!F7</f>
        <v>8a</v>
      </c>
      <c r="E7" t="str">
        <f t="shared" si="0"/>
        <v>Borodavchuk;Denys;denys.borodavchuk@martinus-gymnasium.de;8a</v>
      </c>
    </row>
    <row r="8" spans="1:5" x14ac:dyDescent="0.2">
      <c r="A8" t="str">
        <f>SchülerInnen!A8</f>
        <v>Caglar</v>
      </c>
      <c r="B8" t="str">
        <f>SchülerInnen!B8</f>
        <v>Emir</v>
      </c>
      <c r="C8" t="str">
        <f>SchülerInnen!E8</f>
        <v>emir.caglar@martinus-gymnasium.de</v>
      </c>
      <c r="D8" t="str">
        <f>SchülerInnen!F8</f>
        <v>8a</v>
      </c>
      <c r="E8" t="str">
        <f t="shared" si="0"/>
        <v>Caglar;Emir;emir.caglar@martinus-gymnasium.de;8a</v>
      </c>
    </row>
    <row r="9" spans="1:5" x14ac:dyDescent="0.2">
      <c r="A9" t="str">
        <f>SchülerInnen!A9</f>
        <v>Carmona Rodriguez</v>
      </c>
      <c r="B9" t="str">
        <f>SchülerInnen!B9</f>
        <v>Emily</v>
      </c>
      <c r="C9" t="str">
        <f>SchülerInnen!E9</f>
        <v>emily.carmona.rodriguez@martinus-gymnasium.de</v>
      </c>
      <c r="D9" t="str">
        <f>SchülerInnen!F9</f>
        <v>8a</v>
      </c>
      <c r="E9" t="str">
        <f t="shared" si="0"/>
        <v>Carmona Rodriguez;Emily;emily.carmona.rodriguez@martinus-gymnasium.de;8a</v>
      </c>
    </row>
    <row r="10" spans="1:5" x14ac:dyDescent="0.2">
      <c r="A10" t="str">
        <f>SchülerInnen!A10</f>
        <v>Cazals</v>
      </c>
      <c r="B10" t="str">
        <f>SchülerInnen!B10</f>
        <v>Matthieu</v>
      </c>
      <c r="C10" t="str">
        <f>SchülerInnen!E10</f>
        <v>matthieu.cazals@martinus-gymnasium.de</v>
      </c>
      <c r="D10" t="str">
        <f>SchülerInnen!F10</f>
        <v>8a</v>
      </c>
      <c r="E10" t="str">
        <f t="shared" si="0"/>
        <v>Cazals;Matthieu;matthieu.cazals@martinus-gymnasium.de;8a</v>
      </c>
    </row>
    <row r="11" spans="1:5" x14ac:dyDescent="0.2">
      <c r="A11" t="str">
        <f>SchülerInnen!A11</f>
        <v>Effern</v>
      </c>
      <c r="B11" t="str">
        <f>SchülerInnen!B11</f>
        <v>Diego</v>
      </c>
      <c r="C11" t="str">
        <f>SchülerInnen!E11</f>
        <v>diego.effern@martinus-gymnasium.de</v>
      </c>
      <c r="D11" t="str">
        <f>SchülerInnen!F11</f>
        <v>8a</v>
      </c>
      <c r="E11" t="str">
        <f t="shared" si="0"/>
        <v>Effern;Diego;diego.effern@martinus-gymnasium.de;8a</v>
      </c>
    </row>
    <row r="12" spans="1:5" x14ac:dyDescent="0.2">
      <c r="A12" t="str">
        <f>SchülerInnen!A12</f>
        <v>Engels</v>
      </c>
      <c r="B12" t="str">
        <f>SchülerInnen!B12</f>
        <v>Leonie</v>
      </c>
      <c r="C12" t="str">
        <f>SchülerInnen!E12</f>
        <v>leonie.engels@martinus-gymnasium.de</v>
      </c>
      <c r="D12" t="str">
        <f>SchülerInnen!F12</f>
        <v>8a</v>
      </c>
      <c r="E12" t="str">
        <f t="shared" si="0"/>
        <v>Engels;Leonie;leonie.engels@martinus-gymnasium.de;8a</v>
      </c>
    </row>
    <row r="13" spans="1:5" x14ac:dyDescent="0.2">
      <c r="A13" t="str">
        <f>SchülerInnen!A13</f>
        <v>Hartung</v>
      </c>
      <c r="B13" t="str">
        <f>SchülerInnen!B13</f>
        <v>Max Bao Nam</v>
      </c>
      <c r="C13" t="str">
        <f>SchülerInnen!E13</f>
        <v>max.bao.nam.hartung@martinus-gymnasium.de</v>
      </c>
      <c r="D13" t="str">
        <f>SchülerInnen!F13</f>
        <v>8a</v>
      </c>
      <c r="E13" t="str">
        <f t="shared" si="0"/>
        <v>Hartung;Max Bao Nam;max.bao.nam.hartung@martinus-gymnasium.de;8a</v>
      </c>
    </row>
    <row r="14" spans="1:5" x14ac:dyDescent="0.2">
      <c r="A14" t="str">
        <f>SchülerInnen!A14</f>
        <v>Hoti</v>
      </c>
      <c r="B14" t="str">
        <f>SchülerInnen!B14</f>
        <v>Deliza</v>
      </c>
      <c r="C14" t="str">
        <f>SchülerInnen!E14</f>
        <v>deliza.hoti@martinus-gymnasium.de</v>
      </c>
      <c r="D14" t="str">
        <f>SchülerInnen!F14</f>
        <v>8a</v>
      </c>
      <c r="E14" t="str">
        <f t="shared" si="0"/>
        <v>Hoti;Deliza;deliza.hoti@martinus-gymnasium.de;8a</v>
      </c>
    </row>
    <row r="15" spans="1:5" x14ac:dyDescent="0.2">
      <c r="A15" t="str">
        <f>SchülerInnen!A15</f>
        <v>Kartal</v>
      </c>
      <c r="B15" t="str">
        <f>SchülerInnen!B15</f>
        <v>Talia</v>
      </c>
      <c r="C15" t="str">
        <f>SchülerInnen!E15</f>
        <v>talia.kartal@martinus-gymnasium.de</v>
      </c>
      <c r="D15" t="str">
        <f>SchülerInnen!F15</f>
        <v>8a</v>
      </c>
      <c r="E15" t="str">
        <f t="shared" si="0"/>
        <v>Kartal;Talia;talia.kartal@martinus-gymnasium.de;8a</v>
      </c>
    </row>
    <row r="16" spans="1:5" x14ac:dyDescent="0.2">
      <c r="A16" t="str">
        <f>SchülerInnen!A16</f>
        <v>Korth</v>
      </c>
      <c r="B16" t="str">
        <f>SchülerInnen!B16</f>
        <v>Karla</v>
      </c>
      <c r="C16" t="str">
        <f>SchülerInnen!E16</f>
        <v>karla.korth@martinus-gymnasium.de</v>
      </c>
      <c r="D16" t="str">
        <f>SchülerInnen!F16</f>
        <v>8a</v>
      </c>
      <c r="E16" t="str">
        <f t="shared" si="0"/>
        <v>Korth;Karla;karla.korth@martinus-gymnasium.de;8a</v>
      </c>
    </row>
    <row r="17" spans="1:5" x14ac:dyDescent="0.2">
      <c r="A17" t="str">
        <f>SchülerInnen!A17</f>
        <v>Köster</v>
      </c>
      <c r="B17" t="str">
        <f>SchülerInnen!B17</f>
        <v>Jana</v>
      </c>
      <c r="C17" t="str">
        <f>SchülerInnen!E17</f>
        <v>jana.koester@martinus-gymnasium.de</v>
      </c>
      <c r="D17" t="str">
        <f>SchülerInnen!F17</f>
        <v>8a</v>
      </c>
      <c r="E17" t="str">
        <f t="shared" si="0"/>
        <v>Köster;Jana;jana.koester@martinus-gymnasium.de;8a</v>
      </c>
    </row>
    <row r="18" spans="1:5" x14ac:dyDescent="0.2">
      <c r="A18" t="str">
        <f>SchülerInnen!A18</f>
        <v>Krause</v>
      </c>
      <c r="B18" t="str">
        <f>SchülerInnen!B18</f>
        <v>Isabella</v>
      </c>
      <c r="C18" t="str">
        <f>SchülerInnen!E18</f>
        <v>isabella.krause@martinus-gymnasium.de</v>
      </c>
      <c r="D18" t="str">
        <f>SchülerInnen!F18</f>
        <v>8a</v>
      </c>
      <c r="E18" t="str">
        <f t="shared" si="0"/>
        <v>Krause;Isabella;isabella.krause@martinus-gymnasium.de;8a</v>
      </c>
    </row>
    <row r="19" spans="1:5" x14ac:dyDescent="0.2">
      <c r="A19" t="str">
        <f>SchülerInnen!A19</f>
        <v>Krueger</v>
      </c>
      <c r="B19" t="str">
        <f>SchülerInnen!B19</f>
        <v>Maximilian</v>
      </c>
      <c r="C19" t="str">
        <f>SchülerInnen!E19</f>
        <v>maximilian.krueger@martinus-gymnasium.de</v>
      </c>
      <c r="D19" t="str">
        <f>SchülerInnen!F19</f>
        <v>8a</v>
      </c>
      <c r="E19" t="str">
        <f t="shared" si="0"/>
        <v>Krueger;Maximilian;maximilian.krueger@martinus-gymnasium.de;8a</v>
      </c>
    </row>
    <row r="20" spans="1:5" x14ac:dyDescent="0.2">
      <c r="A20" t="str">
        <f>SchülerInnen!A20</f>
        <v>Nowack</v>
      </c>
      <c r="B20" t="str">
        <f>SchülerInnen!B20</f>
        <v>Laurin</v>
      </c>
      <c r="C20" t="str">
        <f>SchülerInnen!E20</f>
        <v>laurin.nowack@martinus-gymnasium.de</v>
      </c>
      <c r="D20" t="str">
        <f>SchülerInnen!F20</f>
        <v>8a</v>
      </c>
      <c r="E20" t="str">
        <f t="shared" si="0"/>
        <v>Nowack;Laurin;laurin.nowack@martinus-gymnasium.de;8a</v>
      </c>
    </row>
    <row r="21" spans="1:5" x14ac:dyDescent="0.2">
      <c r="A21" t="str">
        <f>SchülerInnen!A21</f>
        <v>Ockenfels</v>
      </c>
      <c r="B21" t="str">
        <f>SchülerInnen!B21</f>
        <v>Jule</v>
      </c>
      <c r="C21" t="str">
        <f>SchülerInnen!E21</f>
        <v>jule.ockenfels@martinus-gymnasium.de</v>
      </c>
      <c r="D21" t="str">
        <f>SchülerInnen!F21</f>
        <v>8a</v>
      </c>
      <c r="E21" t="str">
        <f t="shared" si="0"/>
        <v>Ockenfels;Jule;jule.ockenfels@martinus-gymnasium.de;8a</v>
      </c>
    </row>
    <row r="22" spans="1:5" x14ac:dyDescent="0.2">
      <c r="A22" t="str">
        <f>SchülerInnen!A22</f>
        <v>Ruthenbeck</v>
      </c>
      <c r="B22" t="str">
        <f>SchülerInnen!B22</f>
        <v>Sibel</v>
      </c>
      <c r="C22" t="str">
        <f>SchülerInnen!E22</f>
        <v>sibel.ruthenbeck@martinus-gymnasium.de</v>
      </c>
      <c r="D22" t="str">
        <f>SchülerInnen!F22</f>
        <v>8a</v>
      </c>
      <c r="E22" t="str">
        <f t="shared" si="0"/>
        <v>Ruthenbeck;Sibel;sibel.ruthenbeck@martinus-gymnasium.de;8a</v>
      </c>
    </row>
    <row r="23" spans="1:5" x14ac:dyDescent="0.2">
      <c r="A23" t="str">
        <f>SchülerInnen!A23</f>
        <v>Saal</v>
      </c>
      <c r="B23" t="str">
        <f>SchülerInnen!B23</f>
        <v>Anna-Maria</v>
      </c>
      <c r="C23" t="str">
        <f>SchülerInnen!E23</f>
        <v>anna.maria.saal@martinus-gymnasium.de</v>
      </c>
      <c r="D23" t="str">
        <f>SchülerInnen!F23</f>
        <v>8a</v>
      </c>
      <c r="E23" t="str">
        <f t="shared" si="0"/>
        <v>Saal;Anna-Maria;anna.maria.saal@martinus-gymnasium.de;8a</v>
      </c>
    </row>
    <row r="24" spans="1:5" x14ac:dyDescent="0.2">
      <c r="A24" t="str">
        <f>SchülerInnen!A24</f>
        <v>Schmitz</v>
      </c>
      <c r="B24" t="str">
        <f>SchülerInnen!B24</f>
        <v>Martha-Louise</v>
      </c>
      <c r="C24" t="str">
        <f>SchülerInnen!E24</f>
        <v>martha.louise.schmitz@martinus-gymnasium.de</v>
      </c>
      <c r="D24" t="str">
        <f>SchülerInnen!F24</f>
        <v>8a</v>
      </c>
      <c r="E24" t="str">
        <f t="shared" si="0"/>
        <v>Schmitz;Martha-Louise;martha.louise.schmitz@martinus-gymnasium.de;8a</v>
      </c>
    </row>
    <row r="25" spans="1:5" x14ac:dyDescent="0.2">
      <c r="A25" t="str">
        <f>SchülerInnen!A25</f>
        <v>Schneider</v>
      </c>
      <c r="B25" t="str">
        <f>SchülerInnen!B25</f>
        <v>Benedikt</v>
      </c>
      <c r="C25" t="str">
        <f>SchülerInnen!E25</f>
        <v>benedikt.schneider@martinus-gymnasium.de</v>
      </c>
      <c r="D25" t="str">
        <f>SchülerInnen!F25</f>
        <v>8a</v>
      </c>
      <c r="E25" t="str">
        <f t="shared" si="0"/>
        <v>Schneider;Benedikt;benedikt.schneider@martinus-gymnasium.de;8a</v>
      </c>
    </row>
    <row r="26" spans="1:5" x14ac:dyDescent="0.2">
      <c r="A26" t="str">
        <f>SchülerInnen!A26</f>
        <v>Sharma</v>
      </c>
      <c r="B26" t="str">
        <f>SchülerInnen!B26</f>
        <v>Riya</v>
      </c>
      <c r="C26" t="str">
        <f>SchülerInnen!E26</f>
        <v>riya.sharma@martinus-gymnasium.de</v>
      </c>
      <c r="D26" t="str">
        <f>SchülerInnen!F26</f>
        <v>8a</v>
      </c>
      <c r="E26" t="str">
        <f t="shared" si="0"/>
        <v>Sharma;Riya;riya.sharma@martinus-gymnasium.de;8a</v>
      </c>
    </row>
    <row r="27" spans="1:5" x14ac:dyDescent="0.2">
      <c r="A27" t="str">
        <f>SchülerInnen!A27</f>
        <v>Siebertz</v>
      </c>
      <c r="B27" t="str">
        <f>SchülerInnen!B27</f>
        <v>Elias</v>
      </c>
      <c r="C27" t="str">
        <f>SchülerInnen!E27</f>
        <v>elias.siebertz@martinus-gymnasium.de</v>
      </c>
      <c r="D27" t="str">
        <f>SchülerInnen!F27</f>
        <v>8a</v>
      </c>
      <c r="E27" t="str">
        <f t="shared" si="0"/>
        <v>Siebertz;Elias;elias.siebertz@martinus-gymnasium.de;8a</v>
      </c>
    </row>
    <row r="28" spans="1:5" x14ac:dyDescent="0.2">
      <c r="A28" t="str">
        <f>SchülerInnen!A28</f>
        <v>Streeck</v>
      </c>
      <c r="B28" t="str">
        <f>SchülerInnen!B28</f>
        <v>Neele</v>
      </c>
      <c r="C28" t="str">
        <f>SchülerInnen!E28</f>
        <v>neele.streeck@martinus-gymnasium.de</v>
      </c>
      <c r="D28" t="str">
        <f>SchülerInnen!F28</f>
        <v>8a</v>
      </c>
      <c r="E28" t="str">
        <f t="shared" si="0"/>
        <v>Streeck;Neele;neele.streeck@martinus-gymnasium.de;8a</v>
      </c>
    </row>
    <row r="29" spans="1:5" x14ac:dyDescent="0.2">
      <c r="A29" t="str">
        <f>SchülerInnen!A29</f>
        <v>Zalesskaia</v>
      </c>
      <c r="B29" t="str">
        <f>SchülerInnen!B29</f>
        <v>Daria</v>
      </c>
      <c r="C29" t="str">
        <f>SchülerInnen!E29</f>
        <v>daria.zalesskaia@martinus-gymnasium.de</v>
      </c>
      <c r="D29" t="str">
        <f>SchülerInnen!F29</f>
        <v>8a</v>
      </c>
      <c r="E29" t="str">
        <f t="shared" si="0"/>
        <v>Zalesskaia;Daria;daria.zalesskaia@martinus-gymnasium.de;8a</v>
      </c>
    </row>
    <row r="30" spans="1:5" x14ac:dyDescent="0.2">
      <c r="A30" t="str">
        <f>SchülerInnen!A30</f>
        <v>Alfter</v>
      </c>
      <c r="B30" t="str">
        <f>SchülerInnen!B30</f>
        <v>Julian</v>
      </c>
      <c r="C30" t="str">
        <f>SchülerInnen!E30</f>
        <v>julian.alfter@martinus-gymnasium.de</v>
      </c>
      <c r="D30" t="str">
        <f>SchülerInnen!F30</f>
        <v>8b</v>
      </c>
      <c r="E30" t="str">
        <f t="shared" si="0"/>
        <v>Alfter;Julian;julian.alfter@martinus-gymnasium.de;8b</v>
      </c>
    </row>
    <row r="31" spans="1:5" x14ac:dyDescent="0.2">
      <c r="A31" t="str">
        <f>SchülerInnen!A31</f>
        <v>Al Sharaa</v>
      </c>
      <c r="B31" t="str">
        <f>SchülerInnen!B31</f>
        <v>Hala</v>
      </c>
      <c r="C31" t="str">
        <f>SchülerInnen!E31</f>
        <v>hala.al.sharaa@martinus-gymnasium.de</v>
      </c>
      <c r="D31" t="str">
        <f>SchülerInnen!F31</f>
        <v>8b</v>
      </c>
      <c r="E31" t="str">
        <f t="shared" si="0"/>
        <v>Al Sharaa;Hala;hala.al.sharaa@martinus-gymnasium.de;8b</v>
      </c>
    </row>
    <row r="32" spans="1:5" x14ac:dyDescent="0.2">
      <c r="A32" t="str">
        <f>SchülerInnen!A32</f>
        <v>Beyer</v>
      </c>
      <c r="B32" t="str">
        <f>SchülerInnen!B32</f>
        <v>Emil</v>
      </c>
      <c r="C32" t="str">
        <f>SchülerInnen!E32</f>
        <v>emil.beyer@martinus-gymnasium.de</v>
      </c>
      <c r="D32" t="str">
        <f>SchülerInnen!F32</f>
        <v>8b</v>
      </c>
      <c r="E32" t="str">
        <f t="shared" si="0"/>
        <v>Beyer;Emil;emil.beyer@martinus-gymnasium.de;8b</v>
      </c>
    </row>
    <row r="33" spans="1:5" x14ac:dyDescent="0.2">
      <c r="A33" t="str">
        <f>SchülerInnen!A33</f>
        <v>Chahid</v>
      </c>
      <c r="B33" t="str">
        <f>SchülerInnen!B33</f>
        <v>Jonas</v>
      </c>
      <c r="C33" t="str">
        <f>SchülerInnen!E33</f>
        <v>jonas.chahid@martinus-gymnasium.de</v>
      </c>
      <c r="D33" t="str">
        <f>SchülerInnen!F33</f>
        <v>8b</v>
      </c>
      <c r="E33" t="str">
        <f t="shared" si="0"/>
        <v>Chahid;Jonas;jonas.chahid@martinus-gymnasium.de;8b</v>
      </c>
    </row>
    <row r="34" spans="1:5" x14ac:dyDescent="0.2">
      <c r="A34" t="str">
        <f>SchülerInnen!A34</f>
        <v>Do</v>
      </c>
      <c r="B34" t="str">
        <f>SchülerInnen!B34</f>
        <v>Thanh Long</v>
      </c>
      <c r="C34" t="str">
        <f>SchülerInnen!E34</f>
        <v>thanh.long.do@martinus-gymnasium.de</v>
      </c>
      <c r="D34" t="str">
        <f>SchülerInnen!F34</f>
        <v>8b</v>
      </c>
      <c r="E34" t="str">
        <f t="shared" si="0"/>
        <v>Do;Thanh Long;thanh.long.do@martinus-gymnasium.de;8b</v>
      </c>
    </row>
    <row r="35" spans="1:5" x14ac:dyDescent="0.2">
      <c r="A35" t="str">
        <f>SchülerInnen!A35</f>
        <v>Dreglea</v>
      </c>
      <c r="B35" t="str">
        <f>SchülerInnen!B35</f>
        <v>Darius</v>
      </c>
      <c r="C35" t="str">
        <f>SchülerInnen!E35</f>
        <v>darius.dreglea@martinus-gymnasium.de</v>
      </c>
      <c r="D35" t="str">
        <f>SchülerInnen!F35</f>
        <v>8b</v>
      </c>
      <c r="E35" t="str">
        <f t="shared" si="0"/>
        <v>Dreglea;Darius;darius.dreglea@martinus-gymnasium.de;8b</v>
      </c>
    </row>
    <row r="36" spans="1:5" x14ac:dyDescent="0.2">
      <c r="A36" t="str">
        <f>SchülerInnen!A36</f>
        <v>Duijvekam</v>
      </c>
      <c r="B36" t="str">
        <f>SchülerInnen!B36</f>
        <v>Lilly</v>
      </c>
      <c r="C36" t="str">
        <f>SchülerInnen!E36</f>
        <v>lilly.duijvekam@martinus-gymnasium.de</v>
      </c>
      <c r="D36" t="str">
        <f>SchülerInnen!F36</f>
        <v>8b</v>
      </c>
      <c r="E36" t="str">
        <f t="shared" si="0"/>
        <v>Duijvekam;Lilly;lilly.duijvekam@martinus-gymnasium.de;8b</v>
      </c>
    </row>
    <row r="37" spans="1:5" x14ac:dyDescent="0.2">
      <c r="A37" t="str">
        <f>SchülerInnen!A37</f>
        <v>Firlus</v>
      </c>
      <c r="B37" t="str">
        <f>SchülerInnen!B37</f>
        <v>Julia</v>
      </c>
      <c r="C37" t="str">
        <f>SchülerInnen!E37</f>
        <v>julia.firlus@martinus-gymnasium.de</v>
      </c>
      <c r="D37" t="str">
        <f>SchülerInnen!F37</f>
        <v>8b</v>
      </c>
      <c r="E37" t="str">
        <f t="shared" si="0"/>
        <v>Firlus;Julia;julia.firlus@martinus-gymnasium.de;8b</v>
      </c>
    </row>
    <row r="38" spans="1:5" x14ac:dyDescent="0.2">
      <c r="A38" t="str">
        <f>SchülerInnen!A38</f>
        <v>Frömbgen</v>
      </c>
      <c r="B38" t="str">
        <f>SchülerInnen!B38</f>
        <v>Elias</v>
      </c>
      <c r="C38" t="str">
        <f>SchülerInnen!E38</f>
        <v>elias.froembgen@martinus-gymnasium.de</v>
      </c>
      <c r="D38" t="str">
        <f>SchülerInnen!F38</f>
        <v>8b</v>
      </c>
      <c r="E38" t="str">
        <f t="shared" si="0"/>
        <v>Frömbgen;Elias;elias.froembgen@martinus-gymnasium.de;8b</v>
      </c>
    </row>
    <row r="39" spans="1:5" x14ac:dyDescent="0.2">
      <c r="A39" t="str">
        <f>SchülerInnen!A39</f>
        <v>Gambino-Kleemann</v>
      </c>
      <c r="B39" t="str">
        <f>SchülerInnen!B39</f>
        <v>Lia</v>
      </c>
      <c r="C39" t="str">
        <f>SchülerInnen!E39</f>
        <v>lia.gambino.kleemann@martinus-gymnasium.de</v>
      </c>
      <c r="D39" t="str">
        <f>SchülerInnen!F39</f>
        <v>8b</v>
      </c>
      <c r="E39" t="str">
        <f t="shared" si="0"/>
        <v>Gambino-Kleemann;Lia;lia.gambino.kleemann@martinus-gymnasium.de;8b</v>
      </c>
    </row>
    <row r="40" spans="1:5" x14ac:dyDescent="0.2">
      <c r="A40" t="str">
        <f>SchülerInnen!A40</f>
        <v>Hanft</v>
      </c>
      <c r="B40" t="str">
        <f>SchülerInnen!B40</f>
        <v>Laura</v>
      </c>
      <c r="C40" t="str">
        <f>SchülerInnen!E40</f>
        <v>laura.hanft@martinus-gymnasium.de</v>
      </c>
      <c r="D40" t="str">
        <f>SchülerInnen!F40</f>
        <v>8b</v>
      </c>
      <c r="E40" t="str">
        <f t="shared" si="0"/>
        <v>Hanft;Laura;laura.hanft@martinus-gymnasium.de;8b</v>
      </c>
    </row>
    <row r="41" spans="1:5" x14ac:dyDescent="0.2">
      <c r="A41" t="str">
        <f>SchülerInnen!A41</f>
        <v>Königs</v>
      </c>
      <c r="B41" t="str">
        <f>SchülerInnen!B41</f>
        <v>Anton</v>
      </c>
      <c r="C41" t="str">
        <f>SchülerInnen!E41</f>
        <v>anton.koenigs@martinus-gymnasium.de</v>
      </c>
      <c r="D41" t="str">
        <f>SchülerInnen!F41</f>
        <v>8b</v>
      </c>
      <c r="E41" t="str">
        <f t="shared" si="0"/>
        <v>Königs;Anton;anton.koenigs@martinus-gymnasium.de;8b</v>
      </c>
    </row>
    <row r="42" spans="1:5" x14ac:dyDescent="0.2">
      <c r="A42" t="str">
        <f>SchülerInnen!A42</f>
        <v>Kowalik</v>
      </c>
      <c r="B42" t="str">
        <f>SchülerInnen!B42</f>
        <v>Jowita Aleksandra</v>
      </c>
      <c r="C42" t="str">
        <f>SchülerInnen!E42</f>
        <v>jowita.aleksandra.kowalik@martinus-gymnasium.de</v>
      </c>
      <c r="D42" t="str">
        <f>SchülerInnen!F42</f>
        <v>8b</v>
      </c>
      <c r="E42" t="str">
        <f t="shared" si="0"/>
        <v>Kowalik;Jowita Aleksandra;jowita.aleksandra.kowalik@martinus-gymnasium.de;8b</v>
      </c>
    </row>
    <row r="43" spans="1:5" x14ac:dyDescent="0.2">
      <c r="A43" t="str">
        <f>SchülerInnen!A43</f>
        <v>Nawlo</v>
      </c>
      <c r="B43" t="str">
        <f>SchülerInnen!B43</f>
        <v>Layan</v>
      </c>
      <c r="C43" t="str">
        <f>SchülerInnen!E43</f>
        <v>layan.nawlo@martinus-gymnasium.de</v>
      </c>
      <c r="D43" t="str">
        <f>SchülerInnen!F43</f>
        <v>8b</v>
      </c>
      <c r="E43" t="str">
        <f t="shared" si="0"/>
        <v>Nawlo;Layan;layan.nawlo@martinus-gymnasium.de;8b</v>
      </c>
    </row>
    <row r="44" spans="1:5" x14ac:dyDescent="0.2">
      <c r="A44" t="str">
        <f>SchülerInnen!A44</f>
        <v>Neve</v>
      </c>
      <c r="B44" t="str">
        <f>SchülerInnen!B44</f>
        <v>Jean</v>
      </c>
      <c r="C44" t="str">
        <f>SchülerInnen!E44</f>
        <v>jean.neve@martinus-gymnasium.de</v>
      </c>
      <c r="D44" t="str">
        <f>SchülerInnen!F44</f>
        <v>8b</v>
      </c>
      <c r="E44" t="str">
        <f t="shared" si="0"/>
        <v>Neve;Jean;jean.neve@martinus-gymnasium.de;8b</v>
      </c>
    </row>
    <row r="45" spans="1:5" x14ac:dyDescent="0.2">
      <c r="A45" t="str">
        <f>SchülerInnen!A45</f>
        <v>Ockenfels</v>
      </c>
      <c r="B45" t="str">
        <f>SchülerInnen!B45</f>
        <v>Lucas</v>
      </c>
      <c r="C45" t="str">
        <f>SchülerInnen!E45</f>
        <v>lucas.ockenfels@martinus-gymnasium.de</v>
      </c>
      <c r="D45" t="str">
        <f>SchülerInnen!F45</f>
        <v>8b</v>
      </c>
      <c r="E45" t="str">
        <f t="shared" si="0"/>
        <v>Ockenfels;Lucas;lucas.ockenfels@martinus-gymnasium.de;8b</v>
      </c>
    </row>
    <row r="46" spans="1:5" x14ac:dyDescent="0.2">
      <c r="A46" t="str">
        <f>SchülerInnen!A46</f>
        <v>Probst</v>
      </c>
      <c r="B46" t="str">
        <f>SchülerInnen!B46</f>
        <v>Nikolas</v>
      </c>
      <c r="C46" t="str">
        <f>SchülerInnen!E46</f>
        <v>nikolas.probst@martinus-gymnasium.de</v>
      </c>
      <c r="D46" t="str">
        <f>SchülerInnen!F46</f>
        <v>8b</v>
      </c>
      <c r="E46" t="str">
        <f t="shared" si="0"/>
        <v>Probst;Nikolas;nikolas.probst@martinus-gymnasium.de;8b</v>
      </c>
    </row>
    <row r="47" spans="1:5" x14ac:dyDescent="0.2">
      <c r="A47" t="str">
        <f>SchülerInnen!A47</f>
        <v>Reufels</v>
      </c>
      <c r="B47" t="str">
        <f>SchülerInnen!B47</f>
        <v>Sophie</v>
      </c>
      <c r="C47" t="str">
        <f>SchülerInnen!E47</f>
        <v>sophie.reufels@martinus-gymnasium.de</v>
      </c>
      <c r="D47" t="str">
        <f>SchülerInnen!F47</f>
        <v>8b</v>
      </c>
      <c r="E47" t="str">
        <f t="shared" si="0"/>
        <v>Reufels;Sophie;sophie.reufels@martinus-gymnasium.de;8b</v>
      </c>
    </row>
    <row r="48" spans="1:5" x14ac:dyDescent="0.2">
      <c r="A48" t="str">
        <f>SchülerInnen!A48</f>
        <v>Riadi</v>
      </c>
      <c r="B48" t="str">
        <f>SchülerInnen!B48</f>
        <v>Linah</v>
      </c>
      <c r="C48" t="str">
        <f>SchülerInnen!E48</f>
        <v>linah.riadi@martinus-gymnasium.de</v>
      </c>
      <c r="D48" t="str">
        <f>SchülerInnen!F48</f>
        <v>8b</v>
      </c>
      <c r="E48" t="str">
        <f t="shared" si="0"/>
        <v>Riadi;Linah;linah.riadi@martinus-gymnasium.de;8b</v>
      </c>
    </row>
    <row r="49" spans="1:5" x14ac:dyDescent="0.2">
      <c r="A49" t="str">
        <f>SchülerInnen!A49</f>
        <v>Ruppert</v>
      </c>
      <c r="B49" t="str">
        <f>SchülerInnen!B49</f>
        <v>Sara</v>
      </c>
      <c r="C49" t="str">
        <f>SchülerInnen!E49</f>
        <v>sara.ruppert@martinus-gymnasium.de</v>
      </c>
      <c r="D49" t="str">
        <f>SchülerInnen!F49</f>
        <v>8b</v>
      </c>
      <c r="E49" t="str">
        <f t="shared" si="0"/>
        <v>Ruppert;Sara;sara.ruppert@martinus-gymnasium.de;8b</v>
      </c>
    </row>
    <row r="50" spans="1:5" x14ac:dyDescent="0.2">
      <c r="A50" t="str">
        <f>SchülerInnen!A50</f>
        <v>Schwarz</v>
      </c>
      <c r="B50" t="str">
        <f>SchülerInnen!B50</f>
        <v>Mila</v>
      </c>
      <c r="C50" t="str">
        <f>SchülerInnen!E50</f>
        <v>mila.schwarz@martinus-gymnasium.de</v>
      </c>
      <c r="D50" t="str">
        <f>SchülerInnen!F50</f>
        <v>8b</v>
      </c>
      <c r="E50" t="str">
        <f t="shared" si="0"/>
        <v>Schwarz;Mila;mila.schwarz@martinus-gymnasium.de;8b</v>
      </c>
    </row>
    <row r="51" spans="1:5" x14ac:dyDescent="0.2">
      <c r="A51" t="str">
        <f>SchülerInnen!A51</f>
        <v>Siebertz</v>
      </c>
      <c r="B51" t="str">
        <f>SchülerInnen!B51</f>
        <v>Enno</v>
      </c>
      <c r="C51" t="str">
        <f>SchülerInnen!E51</f>
        <v>enno.siebertz@martinus-gymnasium.de</v>
      </c>
      <c r="D51" t="str">
        <f>SchülerInnen!F51</f>
        <v>8b</v>
      </c>
      <c r="E51" t="str">
        <f t="shared" si="0"/>
        <v>Siebertz;Enno;enno.siebertz@martinus-gymnasium.de;8b</v>
      </c>
    </row>
    <row r="52" spans="1:5" x14ac:dyDescent="0.2">
      <c r="A52" t="str">
        <f>SchülerInnen!A52</f>
        <v>Stemann</v>
      </c>
      <c r="B52" t="str">
        <f>SchülerInnen!B52</f>
        <v>Vincent</v>
      </c>
      <c r="C52" t="str">
        <f>SchülerInnen!E52</f>
        <v>vincent.stemann@martinus-gymnasium.de</v>
      </c>
      <c r="D52" t="str">
        <f>SchülerInnen!F52</f>
        <v>8b</v>
      </c>
      <c r="E52" t="str">
        <f t="shared" si="0"/>
        <v>Stemann;Vincent;vincent.stemann@martinus-gymnasium.de;8b</v>
      </c>
    </row>
    <row r="53" spans="1:5" x14ac:dyDescent="0.2">
      <c r="A53" t="str">
        <f>SchülerInnen!A53</f>
        <v>Suntrup</v>
      </c>
      <c r="B53" t="str">
        <f>SchülerInnen!B53</f>
        <v>Johannes Konrad</v>
      </c>
      <c r="C53" t="str">
        <f>SchülerInnen!E53</f>
        <v>johannes.konrad.suntrup@martinus-gymnasium.de</v>
      </c>
      <c r="D53" t="str">
        <f>SchülerInnen!F53</f>
        <v>8b</v>
      </c>
      <c r="E53" t="str">
        <f t="shared" si="0"/>
        <v>Suntrup;Johannes Konrad;johannes.konrad.suntrup@martinus-gymnasium.de;8b</v>
      </c>
    </row>
    <row r="54" spans="1:5" x14ac:dyDescent="0.2">
      <c r="A54" t="str">
        <f>SchülerInnen!A54</f>
        <v>Walter</v>
      </c>
      <c r="B54" t="str">
        <f>SchülerInnen!B54</f>
        <v>Katharina</v>
      </c>
      <c r="C54" t="str">
        <f>SchülerInnen!E54</f>
        <v>katharina.walter@martinus-gymnasium.de</v>
      </c>
      <c r="D54" t="str">
        <f>SchülerInnen!F54</f>
        <v>8b</v>
      </c>
      <c r="E54" t="str">
        <f t="shared" si="0"/>
        <v>Walter;Katharina;katharina.walter@martinus-gymnasium.de;8b</v>
      </c>
    </row>
    <row r="55" spans="1:5" x14ac:dyDescent="0.2">
      <c r="A55" t="str">
        <f>SchülerInnen!A55</f>
        <v>Wotzke</v>
      </c>
      <c r="B55" t="str">
        <f>SchülerInnen!B55</f>
        <v>Lina</v>
      </c>
      <c r="C55" t="str">
        <f>SchülerInnen!E55</f>
        <v>lina.wotzke@martinus-gymnasium.de</v>
      </c>
      <c r="D55" t="str">
        <f>SchülerInnen!F55</f>
        <v>8b</v>
      </c>
      <c r="E55" t="str">
        <f t="shared" si="0"/>
        <v>Wotzke;Lina;lina.wotzke@martinus-gymnasium.de;8b</v>
      </c>
    </row>
    <row r="56" spans="1:5" x14ac:dyDescent="0.2">
      <c r="A56" t="str">
        <f>SchülerInnen!A56</f>
        <v>Zahn</v>
      </c>
      <c r="B56" t="str">
        <f>SchülerInnen!B56</f>
        <v>Sarah</v>
      </c>
      <c r="C56" t="str">
        <f>SchülerInnen!E56</f>
        <v>sarah.zahn@martinus-gymnasium.de</v>
      </c>
      <c r="D56" t="str">
        <f>SchülerInnen!F56</f>
        <v>8b</v>
      </c>
      <c r="E56" t="str">
        <f t="shared" si="0"/>
        <v>Zahn;Sarah;sarah.zahn@martinus-gymnasium.de;8b</v>
      </c>
    </row>
    <row r="57" spans="1:5" x14ac:dyDescent="0.2">
      <c r="A57" t="str">
        <f>SchülerInnen!A57</f>
        <v>Zeichner</v>
      </c>
      <c r="B57" t="str">
        <f>SchülerInnen!B57</f>
        <v>Elias</v>
      </c>
      <c r="C57" t="str">
        <f>SchülerInnen!E57</f>
        <v>elias.zeichner@martinus-gymnasium.de</v>
      </c>
      <c r="D57" t="str">
        <f>SchülerInnen!F57</f>
        <v>8b</v>
      </c>
      <c r="E57" t="str">
        <f t="shared" si="0"/>
        <v>Zeichner;Elias;elias.zeichner@martinus-gymnasium.de;8b</v>
      </c>
    </row>
    <row r="58" spans="1:5" x14ac:dyDescent="0.2">
      <c r="A58" t="str">
        <f>SchülerInnen!A58</f>
        <v>Łukoszek</v>
      </c>
      <c r="B58" t="str">
        <f>SchülerInnen!B58</f>
        <v>Jan Henryk</v>
      </c>
      <c r="C58" t="str">
        <f>SchülerInnen!E58</f>
        <v>jan.henryk.lukoszek@martinus-gymnasium.de</v>
      </c>
      <c r="D58" t="str">
        <f>SchülerInnen!F58</f>
        <v>8b</v>
      </c>
      <c r="E58" t="str">
        <f t="shared" si="0"/>
        <v>Łukoszek;Jan Henryk;jan.henryk.lukoszek@martinus-gymnasium.de;8b</v>
      </c>
    </row>
    <row r="59" spans="1:5" x14ac:dyDescent="0.2">
      <c r="A59" t="str">
        <f>SchülerInnen!A59</f>
        <v>Antweiler</v>
      </c>
      <c r="B59" t="str">
        <f>SchülerInnen!B59</f>
        <v>Mike</v>
      </c>
      <c r="C59" t="str">
        <f>SchülerInnen!E59</f>
        <v>mike.antweiler@martinus-gymnasium.de</v>
      </c>
      <c r="D59" t="str">
        <f>SchülerInnen!F59</f>
        <v>8c</v>
      </c>
      <c r="E59" t="str">
        <f t="shared" si="0"/>
        <v>Antweiler;Mike;mike.antweiler@martinus-gymnasium.de;8c</v>
      </c>
    </row>
    <row r="60" spans="1:5" x14ac:dyDescent="0.2">
      <c r="A60" t="str">
        <f>SchülerInnen!A60</f>
        <v>Bärnwald</v>
      </c>
      <c r="B60" t="str">
        <f>SchülerInnen!B60</f>
        <v>Celina</v>
      </c>
      <c r="C60" t="str">
        <f>SchülerInnen!E60</f>
        <v>celina.baernwald@martinus-gymnasium.de</v>
      </c>
      <c r="D60" t="str">
        <f>SchülerInnen!F60</f>
        <v>8c</v>
      </c>
      <c r="E60" t="str">
        <f t="shared" si="0"/>
        <v>Bärnwald;Celina;celina.baernwald@martinus-gymnasium.de;8c</v>
      </c>
    </row>
    <row r="61" spans="1:5" x14ac:dyDescent="0.2">
      <c r="A61" t="str">
        <f>SchülerInnen!A61</f>
        <v>Buhr</v>
      </c>
      <c r="B61" t="str">
        <f>SchülerInnen!B61</f>
        <v>Marlene</v>
      </c>
      <c r="C61" t="str">
        <f>SchülerInnen!E61</f>
        <v>marlene.buhr@martinus-gymnasium.de</v>
      </c>
      <c r="D61" t="str">
        <f>SchülerInnen!F61</f>
        <v>8c</v>
      </c>
      <c r="E61" t="str">
        <f t="shared" si="0"/>
        <v>Buhr;Marlene;marlene.buhr@martinus-gymnasium.de;8c</v>
      </c>
    </row>
    <row r="62" spans="1:5" x14ac:dyDescent="0.2">
      <c r="A62" t="str">
        <f>SchülerInnen!A62</f>
        <v>Chunangamparampan</v>
      </c>
      <c r="B62" t="str">
        <f>SchülerInnen!B62</f>
        <v>Lena</v>
      </c>
      <c r="C62" t="str">
        <f>SchülerInnen!E62</f>
        <v>lena.chunangamparampan@martinus-gymnasium.de</v>
      </c>
      <c r="D62" t="str">
        <f>SchülerInnen!F62</f>
        <v>8c</v>
      </c>
      <c r="E62" t="str">
        <f t="shared" si="0"/>
        <v>Chunangamparampan;Lena;lena.chunangamparampan@martinus-gymnasium.de;8c</v>
      </c>
    </row>
    <row r="63" spans="1:5" x14ac:dyDescent="0.2">
      <c r="A63" t="str">
        <f>SchülerInnen!A63</f>
        <v>Collura</v>
      </c>
      <c r="B63" t="str">
        <f>SchülerInnen!B63</f>
        <v>Sanjo</v>
      </c>
      <c r="C63" t="str">
        <f>SchülerInnen!E63</f>
        <v>sanjo.collura@martinus-gymnasium.de</v>
      </c>
      <c r="D63" t="str">
        <f>SchülerInnen!F63</f>
        <v>8c</v>
      </c>
      <c r="E63" t="str">
        <f t="shared" si="0"/>
        <v>Collura;Sanjo;sanjo.collura@martinus-gymnasium.de;8c</v>
      </c>
    </row>
    <row r="64" spans="1:5" x14ac:dyDescent="0.2">
      <c r="A64" t="str">
        <f>SchülerInnen!A64</f>
        <v>Dimitrievska</v>
      </c>
      <c r="B64" t="str">
        <f>SchülerInnen!B64</f>
        <v>Emilia</v>
      </c>
      <c r="C64" t="str">
        <f>SchülerInnen!E64</f>
        <v>emilia.dimitrievska@martinus-gymnasium.de</v>
      </c>
      <c r="D64" t="str">
        <f>SchülerInnen!F64</f>
        <v>8c</v>
      </c>
      <c r="E64" t="str">
        <f t="shared" si="0"/>
        <v>Dimitrievska;Emilia;emilia.dimitrievska@martinus-gymnasium.de;8c</v>
      </c>
    </row>
    <row r="65" spans="1:5" x14ac:dyDescent="0.2">
      <c r="A65" t="str">
        <f>SchülerInnen!A65</f>
        <v>Ermtraud</v>
      </c>
      <c r="B65" t="str">
        <f>SchülerInnen!B65</f>
        <v>Mia</v>
      </c>
      <c r="C65" t="str">
        <f>SchülerInnen!E65</f>
        <v>mia.ermtraud@martinus-gymnasium.de</v>
      </c>
      <c r="D65" t="str">
        <f>SchülerInnen!F65</f>
        <v>8c</v>
      </c>
      <c r="E65" t="str">
        <f t="shared" si="0"/>
        <v>Ermtraud;Mia;mia.ermtraud@martinus-gymnasium.de;8c</v>
      </c>
    </row>
    <row r="66" spans="1:5" x14ac:dyDescent="0.2">
      <c r="A66" t="str">
        <f>SchülerInnen!A66</f>
        <v>Frye</v>
      </c>
      <c r="B66" t="str">
        <f>SchülerInnen!B66</f>
        <v>Lúthien</v>
      </c>
      <c r="C66" t="str">
        <f>SchülerInnen!E66</f>
        <v>luthien.frye@martinus-gymnasium.de</v>
      </c>
      <c r="D66" t="str">
        <f>SchülerInnen!F66</f>
        <v>8c</v>
      </c>
      <c r="E66" t="str">
        <f t="shared" si="0"/>
        <v>Frye;Lúthien;luthien.frye@martinus-gymnasium.de;8c</v>
      </c>
    </row>
    <row r="67" spans="1:5" x14ac:dyDescent="0.2">
      <c r="A67" t="str">
        <f>SchülerInnen!A67</f>
        <v>Hadaschik</v>
      </c>
      <c r="B67" t="str">
        <f>SchülerInnen!B67</f>
        <v>Greta</v>
      </c>
      <c r="C67" t="str">
        <f>SchülerInnen!E67</f>
        <v>greta.hadaschik@martinus-gymnasium.de</v>
      </c>
      <c r="D67" t="str">
        <f>SchülerInnen!F67</f>
        <v>8c</v>
      </c>
      <c r="E67" t="str">
        <f t="shared" ref="E67:E130" si="1">_xlfn.TEXTJOIN(";",FALSE,A67:D67)</f>
        <v>Hadaschik;Greta;greta.hadaschik@martinus-gymnasium.de;8c</v>
      </c>
    </row>
    <row r="68" spans="1:5" x14ac:dyDescent="0.2">
      <c r="A68" t="str">
        <f>SchülerInnen!A68</f>
        <v>Haupt</v>
      </c>
      <c r="B68" t="str">
        <f>SchülerInnen!B68</f>
        <v>Sofia</v>
      </c>
      <c r="C68" t="str">
        <f>SchülerInnen!E68</f>
        <v>sofia.haupt@martinus-gymnasium.de</v>
      </c>
      <c r="D68" t="str">
        <f>SchülerInnen!F68</f>
        <v>8c</v>
      </c>
      <c r="E68" t="str">
        <f t="shared" si="1"/>
        <v>Haupt;Sofia;sofia.haupt@martinus-gymnasium.de;8c</v>
      </c>
    </row>
    <row r="69" spans="1:5" x14ac:dyDescent="0.2">
      <c r="A69" t="str">
        <f>SchülerInnen!A69</f>
        <v>Hoffmann</v>
      </c>
      <c r="B69" t="str">
        <f>SchülerInnen!B69</f>
        <v>Lara</v>
      </c>
      <c r="C69" t="str">
        <f>SchülerInnen!E69</f>
        <v>lara.hoffmann@martinus-gymnasium.de</v>
      </c>
      <c r="D69" t="str">
        <f>SchülerInnen!F69</f>
        <v>8c</v>
      </c>
      <c r="E69" t="str">
        <f t="shared" si="1"/>
        <v>Hoffmann;Lara;lara.hoffmann@martinus-gymnasium.de;8c</v>
      </c>
    </row>
    <row r="70" spans="1:5" x14ac:dyDescent="0.2">
      <c r="A70" t="str">
        <f>SchülerInnen!A70</f>
        <v>Jünger</v>
      </c>
      <c r="B70" t="str">
        <f>SchülerInnen!B70</f>
        <v>Luca</v>
      </c>
      <c r="C70" t="str">
        <f>SchülerInnen!E70</f>
        <v>luca.juenger@martinus-gymnasium.de</v>
      </c>
      <c r="D70" t="str">
        <f>SchülerInnen!F70</f>
        <v>8c</v>
      </c>
      <c r="E70" t="str">
        <f t="shared" si="1"/>
        <v>Jünger;Luca;luca.juenger@martinus-gymnasium.de;8c</v>
      </c>
    </row>
    <row r="71" spans="1:5" x14ac:dyDescent="0.2">
      <c r="A71" t="str">
        <f>SchülerInnen!A71</f>
        <v>Le</v>
      </c>
      <c r="B71" t="str">
        <f>SchülerInnen!B71</f>
        <v>Emily Bao Nhi</v>
      </c>
      <c r="C71" t="str">
        <f>SchülerInnen!E71</f>
        <v>emily.bao.nhi.le@martinus-gymnasium.de</v>
      </c>
      <c r="D71" t="str">
        <f>SchülerInnen!F71</f>
        <v>8c</v>
      </c>
      <c r="E71" t="str">
        <f t="shared" si="1"/>
        <v>Le;Emily Bao Nhi;emily.bao.nhi.le@martinus-gymnasium.de;8c</v>
      </c>
    </row>
    <row r="72" spans="1:5" x14ac:dyDescent="0.2">
      <c r="A72" t="str">
        <f>SchülerInnen!A72</f>
        <v>Mertesacker</v>
      </c>
      <c r="B72" t="str">
        <f>SchülerInnen!B72</f>
        <v>Luke</v>
      </c>
      <c r="C72" t="str">
        <f>SchülerInnen!E72</f>
        <v>luke.mertesacker@martinus-gymnasium.de</v>
      </c>
      <c r="D72" t="str">
        <f>SchülerInnen!F72</f>
        <v>8c</v>
      </c>
      <c r="E72" t="str">
        <f t="shared" si="1"/>
        <v>Mertesacker;Luke;luke.mertesacker@martinus-gymnasium.de;8c</v>
      </c>
    </row>
    <row r="73" spans="1:5" x14ac:dyDescent="0.2">
      <c r="A73" t="str">
        <f>SchülerInnen!A73</f>
        <v>Nguyen</v>
      </c>
      <c r="B73" t="str">
        <f>SchülerInnen!B73</f>
        <v>Phung</v>
      </c>
      <c r="C73" t="str">
        <f>SchülerInnen!E73</f>
        <v>phung.nguyen@martinus-gymnasium.de</v>
      </c>
      <c r="D73" t="str">
        <f>SchülerInnen!F73</f>
        <v>8c</v>
      </c>
      <c r="E73" t="str">
        <f t="shared" si="1"/>
        <v>Nguyen;Phung;phung.nguyen@martinus-gymnasium.de;8c</v>
      </c>
    </row>
    <row r="74" spans="1:5" x14ac:dyDescent="0.2">
      <c r="A74" t="str">
        <f>SchülerInnen!A74</f>
        <v>Niederée</v>
      </c>
      <c r="B74" t="str">
        <f>SchülerInnen!B74</f>
        <v>Marie Josefine</v>
      </c>
      <c r="C74" t="str">
        <f>SchülerInnen!E74</f>
        <v>marie.josefine.niederee@martinus-gymnasium.de</v>
      </c>
      <c r="D74" t="str">
        <f>SchülerInnen!F74</f>
        <v>8c</v>
      </c>
      <c r="E74" t="str">
        <f t="shared" si="1"/>
        <v>Niederée;Marie Josefine;marie.josefine.niederee@martinus-gymnasium.de;8c</v>
      </c>
    </row>
    <row r="75" spans="1:5" x14ac:dyDescent="0.2">
      <c r="A75" t="str">
        <f>SchülerInnen!A75</f>
        <v>Pogorelow</v>
      </c>
      <c r="B75" t="str">
        <f>SchülerInnen!B75</f>
        <v>Kristian</v>
      </c>
      <c r="C75" t="str">
        <f>SchülerInnen!E75</f>
        <v>kristian.pogorelow@martinus-gymnasium.de</v>
      </c>
      <c r="D75" t="str">
        <f>SchülerInnen!F75</f>
        <v>8c</v>
      </c>
      <c r="E75" t="str">
        <f t="shared" si="1"/>
        <v>Pogorelow;Kristian;kristian.pogorelow@martinus-gymnasium.de;8c</v>
      </c>
    </row>
    <row r="76" spans="1:5" x14ac:dyDescent="0.2">
      <c r="A76" t="str">
        <f>SchülerInnen!A76</f>
        <v>Schoss</v>
      </c>
      <c r="B76" t="str">
        <f>SchülerInnen!B76</f>
        <v>Jonas</v>
      </c>
      <c r="C76" t="str">
        <f>SchülerInnen!E76</f>
        <v>jonas.schoss@martinus-gymnasium.de</v>
      </c>
      <c r="D76" t="str">
        <f>SchülerInnen!F76</f>
        <v>8c</v>
      </c>
      <c r="E76" t="str">
        <f t="shared" si="1"/>
        <v>Schoss;Jonas;jonas.schoss@martinus-gymnasium.de;8c</v>
      </c>
    </row>
    <row r="77" spans="1:5" x14ac:dyDescent="0.2">
      <c r="A77" t="str">
        <f>SchülerInnen!A77</f>
        <v>Simonis</v>
      </c>
      <c r="B77" t="str">
        <f>SchülerInnen!B77</f>
        <v>Marisa</v>
      </c>
      <c r="C77" t="str">
        <f>SchülerInnen!E77</f>
        <v>marisa.simonis@martinus-gymnasium.de</v>
      </c>
      <c r="D77" t="str">
        <f>SchülerInnen!F77</f>
        <v>8c</v>
      </c>
      <c r="E77" t="str">
        <f t="shared" si="1"/>
        <v>Simonis;Marisa;marisa.simonis@martinus-gymnasium.de;8c</v>
      </c>
    </row>
    <row r="78" spans="1:5" x14ac:dyDescent="0.2">
      <c r="A78" t="str">
        <f>SchülerInnen!A78</f>
        <v>Stein</v>
      </c>
      <c r="B78" t="str">
        <f>SchülerInnen!B78</f>
        <v>Lea Sophie</v>
      </c>
      <c r="C78" t="str">
        <f>SchülerInnen!E78</f>
        <v>lea.sophie.stein@martinus-gymnasium.de</v>
      </c>
      <c r="D78" t="str">
        <f>SchülerInnen!F78</f>
        <v>8c</v>
      </c>
      <c r="E78" t="str">
        <f t="shared" si="1"/>
        <v>Stein;Lea Sophie;lea.sophie.stein@martinus-gymnasium.de;8c</v>
      </c>
    </row>
    <row r="79" spans="1:5" x14ac:dyDescent="0.2">
      <c r="A79" t="str">
        <f>SchülerInnen!A79</f>
        <v>Stumpf</v>
      </c>
      <c r="B79" t="str">
        <f>SchülerInnen!B79</f>
        <v>Melissa</v>
      </c>
      <c r="C79" t="str">
        <f>SchülerInnen!E79</f>
        <v>melissa.stumpf@martinus-gymnasium.de</v>
      </c>
      <c r="D79" t="str">
        <f>SchülerInnen!F79</f>
        <v>8c</v>
      </c>
      <c r="E79" t="str">
        <f t="shared" si="1"/>
        <v>Stumpf;Melissa;melissa.stumpf@martinus-gymnasium.de;8c</v>
      </c>
    </row>
    <row r="80" spans="1:5" x14ac:dyDescent="0.2">
      <c r="A80" t="str">
        <f>SchülerInnen!A80</f>
        <v>Swirsky</v>
      </c>
      <c r="B80" t="str">
        <f>SchülerInnen!B80</f>
        <v>Tanja</v>
      </c>
      <c r="C80" t="str">
        <f>SchülerInnen!E80</f>
        <v>tanja.swirsky@martinus-gymnasium.de</v>
      </c>
      <c r="D80" t="str">
        <f>SchülerInnen!F80</f>
        <v>8c</v>
      </c>
      <c r="E80" t="str">
        <f t="shared" si="1"/>
        <v>Swirsky;Tanja;tanja.swirsky@martinus-gymnasium.de;8c</v>
      </c>
    </row>
    <row r="81" spans="1:5" x14ac:dyDescent="0.2">
      <c r="A81" t="str">
        <f>SchülerInnen!A81</f>
        <v>Vetsch</v>
      </c>
      <c r="B81" t="str">
        <f>SchülerInnen!B81</f>
        <v>Ella</v>
      </c>
      <c r="C81" t="str">
        <f>SchülerInnen!E81</f>
        <v>ella.vetsch@martinus-gymnasium.de</v>
      </c>
      <c r="D81" t="str">
        <f>SchülerInnen!F81</f>
        <v>8c</v>
      </c>
      <c r="E81" t="str">
        <f t="shared" si="1"/>
        <v>Vetsch;Ella;ella.vetsch@martinus-gymnasium.de;8c</v>
      </c>
    </row>
    <row r="82" spans="1:5" x14ac:dyDescent="0.2">
      <c r="A82" t="str">
        <f>SchülerInnen!A82</f>
        <v>Weiß</v>
      </c>
      <c r="B82" t="str">
        <f>SchülerInnen!B82</f>
        <v>Klara</v>
      </c>
      <c r="C82" t="str">
        <f>SchülerInnen!E82</f>
        <v>klara.weiss@martinus-gymnasium.de</v>
      </c>
      <c r="D82" t="str">
        <f>SchülerInnen!F82</f>
        <v>8c</v>
      </c>
      <c r="E82" t="str">
        <f t="shared" si="1"/>
        <v>Weiß;Klara;klara.weiss@martinus-gymnasium.de;8c</v>
      </c>
    </row>
    <row r="83" spans="1:5" x14ac:dyDescent="0.2">
      <c r="A83" t="str">
        <f>SchülerInnen!A83</f>
        <v>Zeichner</v>
      </c>
      <c r="B83" t="str">
        <f>SchülerInnen!B83</f>
        <v>Benjamin</v>
      </c>
      <c r="C83" t="str">
        <f>SchülerInnen!E83</f>
        <v>benjamin.zeichner@martinus-gymnasium.de</v>
      </c>
      <c r="D83" t="str">
        <f>SchülerInnen!F83</f>
        <v>8c</v>
      </c>
      <c r="E83" t="str">
        <f t="shared" si="1"/>
        <v>Zeichner;Benjamin;benjamin.zeichner@martinus-gymnasium.de;8c</v>
      </c>
    </row>
    <row r="84" spans="1:5" x14ac:dyDescent="0.2">
      <c r="A84" t="str">
        <f>SchülerInnen!A84</f>
        <v>Zeichner</v>
      </c>
      <c r="B84" t="str">
        <f>SchülerInnen!B84</f>
        <v>Rosa</v>
      </c>
      <c r="C84" t="str">
        <f>SchülerInnen!E84</f>
        <v>rosa.zeichner@martinus-gymnasium.de</v>
      </c>
      <c r="D84" t="str">
        <f>SchülerInnen!F84</f>
        <v>8c</v>
      </c>
      <c r="E84" t="str">
        <f t="shared" si="1"/>
        <v>Zeichner;Rosa;rosa.zeichner@martinus-gymnasium.de;8c</v>
      </c>
    </row>
    <row r="85" spans="1:5" x14ac:dyDescent="0.2">
      <c r="A85" t="str">
        <f>SchülerInnen!A85</f>
        <v>Akden</v>
      </c>
      <c r="B85" t="str">
        <f>SchülerInnen!B85</f>
        <v>Caner</v>
      </c>
      <c r="C85" t="str">
        <f>SchülerInnen!E85</f>
        <v>caner.akden@martinus-gymnasium.de</v>
      </c>
      <c r="D85" t="str">
        <f>SchülerInnen!F85</f>
        <v>9a</v>
      </c>
      <c r="E85" t="str">
        <f t="shared" si="1"/>
        <v>Akden;Caner;caner.akden@martinus-gymnasium.de;9a</v>
      </c>
    </row>
    <row r="86" spans="1:5" x14ac:dyDescent="0.2">
      <c r="A86" t="str">
        <f>SchülerInnen!A86</f>
        <v>Fossemer</v>
      </c>
      <c r="B86" t="str">
        <f>SchülerInnen!B86</f>
        <v>Amelie</v>
      </c>
      <c r="C86" t="str">
        <f>SchülerInnen!E86</f>
        <v>amelie.fossemer@martinus-gymnasium.de</v>
      </c>
      <c r="D86" t="str">
        <f>SchülerInnen!F86</f>
        <v>9a</v>
      </c>
      <c r="E86" t="str">
        <f t="shared" si="1"/>
        <v>Fossemer;Amelie;amelie.fossemer@martinus-gymnasium.de;9a</v>
      </c>
    </row>
    <row r="87" spans="1:5" x14ac:dyDescent="0.2">
      <c r="A87" t="str">
        <f>SchülerInnen!A87</f>
        <v>Francisco</v>
      </c>
      <c r="B87" t="str">
        <f>SchülerInnen!B87</f>
        <v>Qasim</v>
      </c>
      <c r="C87" t="str">
        <f>SchülerInnen!E87</f>
        <v>qasim.francisco@martinus-gymnasium.de</v>
      </c>
      <c r="D87" t="str">
        <f>SchülerInnen!F87</f>
        <v>9a</v>
      </c>
      <c r="E87" t="str">
        <f t="shared" si="1"/>
        <v>Francisco;Qasim;qasim.francisco@martinus-gymnasium.de;9a</v>
      </c>
    </row>
    <row r="88" spans="1:5" x14ac:dyDescent="0.2">
      <c r="A88" t="str">
        <f>SchülerInnen!A88</f>
        <v>Glätzner</v>
      </c>
      <c r="B88" t="str">
        <f>SchülerInnen!B88</f>
        <v>Sophie</v>
      </c>
      <c r="C88" t="str">
        <f>SchülerInnen!E88</f>
        <v>sophie.glaetzner@martinus-gymnasium.de</v>
      </c>
      <c r="D88" t="str">
        <f>SchülerInnen!F88</f>
        <v>9a</v>
      </c>
      <c r="E88" t="str">
        <f t="shared" si="1"/>
        <v>Glätzner;Sophie;sophie.glaetzner@martinus-gymnasium.de;9a</v>
      </c>
    </row>
    <row r="89" spans="1:5" x14ac:dyDescent="0.2">
      <c r="A89" t="str">
        <f>SchülerInnen!A89</f>
        <v>Kauferstein</v>
      </c>
      <c r="B89" t="str">
        <f>SchülerInnen!B89</f>
        <v>Marlena</v>
      </c>
      <c r="C89" t="str">
        <f>SchülerInnen!E89</f>
        <v>marlena.kauferstein@martinus-gymnasium.de</v>
      </c>
      <c r="D89" t="str">
        <f>SchülerInnen!F89</f>
        <v>9a</v>
      </c>
      <c r="E89" t="str">
        <f t="shared" si="1"/>
        <v>Kauferstein;Marlena;marlena.kauferstein@martinus-gymnasium.de;9a</v>
      </c>
    </row>
    <row r="90" spans="1:5" x14ac:dyDescent="0.2">
      <c r="A90" t="str">
        <f>SchülerInnen!A90</f>
        <v>Kedikoglu</v>
      </c>
      <c r="B90" t="str">
        <f>SchülerInnen!B90</f>
        <v>Harun</v>
      </c>
      <c r="C90" t="str">
        <f>SchülerInnen!E90</f>
        <v>harun.kedikoglu@martinus-gymnasium.de</v>
      </c>
      <c r="D90" t="str">
        <f>SchülerInnen!F90</f>
        <v>9a</v>
      </c>
      <c r="E90" t="str">
        <f t="shared" si="1"/>
        <v>Kedikoglu;Harun;harun.kedikoglu@martinus-gymnasium.de;9a</v>
      </c>
    </row>
    <row r="91" spans="1:5" x14ac:dyDescent="0.2">
      <c r="A91" t="str">
        <f>SchülerInnen!A91</f>
        <v>Köpcke</v>
      </c>
      <c r="B91" t="str">
        <f>SchülerInnen!B91</f>
        <v>Marlene</v>
      </c>
      <c r="C91" t="str">
        <f>SchülerInnen!E91</f>
        <v>marlene.koepcke@martinus-gymnasium.de</v>
      </c>
      <c r="D91" t="str">
        <f>SchülerInnen!F91</f>
        <v>9a</v>
      </c>
      <c r="E91" t="str">
        <f t="shared" si="1"/>
        <v>Köpcke;Marlene;marlene.koepcke@martinus-gymnasium.de;9a</v>
      </c>
    </row>
    <row r="92" spans="1:5" x14ac:dyDescent="0.2">
      <c r="A92" t="str">
        <f>SchülerInnen!A92</f>
        <v>Kröger</v>
      </c>
      <c r="B92" t="str">
        <f>SchülerInnen!B92</f>
        <v>Ronja</v>
      </c>
      <c r="C92" t="str">
        <f>SchülerInnen!E92</f>
        <v>ronja.kroeger@martinus-gymnasium.de</v>
      </c>
      <c r="D92" t="str">
        <f>SchülerInnen!F92</f>
        <v>9a</v>
      </c>
      <c r="E92" t="str">
        <f t="shared" si="1"/>
        <v>Kröger;Ronja;ronja.kroeger@martinus-gymnasium.de;9a</v>
      </c>
    </row>
    <row r="93" spans="1:5" x14ac:dyDescent="0.2">
      <c r="A93" t="str">
        <f>SchülerInnen!A93</f>
        <v>Kröll</v>
      </c>
      <c r="B93" t="str">
        <f>SchülerInnen!B93</f>
        <v>Maike</v>
      </c>
      <c r="C93" t="str">
        <f>SchülerInnen!E93</f>
        <v>maike.kroell@martinus-gymnasium.de</v>
      </c>
      <c r="D93" t="str">
        <f>SchülerInnen!F93</f>
        <v>9a</v>
      </c>
      <c r="E93" t="str">
        <f t="shared" si="1"/>
        <v>Kröll;Maike;maike.kroell@martinus-gymnasium.de;9a</v>
      </c>
    </row>
    <row r="94" spans="1:5" x14ac:dyDescent="0.2">
      <c r="A94" t="str">
        <f>SchülerInnen!A94</f>
        <v>Laniewski</v>
      </c>
      <c r="B94" t="str">
        <f>SchülerInnen!B94</f>
        <v>Michal</v>
      </c>
      <c r="C94" t="str">
        <f>SchülerInnen!E94</f>
        <v>michal.laniewski@martinus-gymnasium.de</v>
      </c>
      <c r="D94" t="str">
        <f>SchülerInnen!F94</f>
        <v>9a</v>
      </c>
      <c r="E94" t="str">
        <f t="shared" si="1"/>
        <v>Laniewski;Michal;michal.laniewski@martinus-gymnasium.de;9a</v>
      </c>
    </row>
    <row r="95" spans="1:5" x14ac:dyDescent="0.2">
      <c r="A95" t="str">
        <f>SchülerInnen!A95</f>
        <v>Lopez</v>
      </c>
      <c r="B95" t="str">
        <f>SchülerInnen!B95</f>
        <v>Ilaria</v>
      </c>
      <c r="C95" t="str">
        <f>SchülerInnen!E95</f>
        <v>ilaria.lopez@martinus-gymnasium.de</v>
      </c>
      <c r="D95" t="str">
        <f>SchülerInnen!F95</f>
        <v>9a</v>
      </c>
      <c r="E95" t="str">
        <f t="shared" si="1"/>
        <v>Lopez;Ilaria;ilaria.lopez@martinus-gymnasium.de;9a</v>
      </c>
    </row>
    <row r="96" spans="1:5" x14ac:dyDescent="0.2">
      <c r="A96" t="str">
        <f>SchülerInnen!A96</f>
        <v>Martin</v>
      </c>
      <c r="B96" t="str">
        <f>SchülerInnen!B96</f>
        <v>Hannah</v>
      </c>
      <c r="C96" t="str">
        <f>SchülerInnen!E96</f>
        <v>hannah.martin@martinus-gymnasium.de</v>
      </c>
      <c r="D96" t="str">
        <f>SchülerInnen!F96</f>
        <v>9a</v>
      </c>
      <c r="E96" t="str">
        <f t="shared" si="1"/>
        <v>Martin;Hannah;hannah.martin@martinus-gymnasium.de;9a</v>
      </c>
    </row>
    <row r="97" spans="1:5" x14ac:dyDescent="0.2">
      <c r="A97" t="str">
        <f>SchülerInnen!A97</f>
        <v>Moch</v>
      </c>
      <c r="B97" t="str">
        <f>SchülerInnen!B97</f>
        <v>Demian</v>
      </c>
      <c r="C97" t="str">
        <f>SchülerInnen!E97</f>
        <v>demian.moch@martinus-gymnasium.de</v>
      </c>
      <c r="D97" t="str">
        <f>SchülerInnen!F97</f>
        <v>9a</v>
      </c>
      <c r="E97" t="str">
        <f t="shared" si="1"/>
        <v>Moch;Demian;demian.moch@martinus-gymnasium.de;9a</v>
      </c>
    </row>
    <row r="98" spans="1:5" x14ac:dyDescent="0.2">
      <c r="A98" t="str">
        <f>SchülerInnen!A98</f>
        <v>Mohamed</v>
      </c>
      <c r="B98" t="str">
        <f>SchülerInnen!B98</f>
        <v>Chia</v>
      </c>
      <c r="C98" t="str">
        <f>SchülerInnen!E98</f>
        <v>chia.mohamed@martinus-gymnasium.de</v>
      </c>
      <c r="D98" t="str">
        <f>SchülerInnen!F98</f>
        <v>9a</v>
      </c>
      <c r="E98" t="str">
        <f t="shared" si="1"/>
        <v>Mohamed;Chia;chia.mohamed@martinus-gymnasium.de;9a</v>
      </c>
    </row>
    <row r="99" spans="1:5" x14ac:dyDescent="0.2">
      <c r="A99" t="str">
        <f>SchülerInnen!A99</f>
        <v>Samadova</v>
      </c>
      <c r="B99" t="str">
        <f>SchülerInnen!B99</f>
        <v>Lala</v>
      </c>
      <c r="C99" t="str">
        <f>SchülerInnen!E99</f>
        <v>lala.samadova@martinus-gymnasium.de</v>
      </c>
      <c r="D99" t="str">
        <f>SchülerInnen!F99</f>
        <v>9a</v>
      </c>
      <c r="E99" t="str">
        <f t="shared" si="1"/>
        <v>Samadova;Lala;lala.samadova@martinus-gymnasium.de;9a</v>
      </c>
    </row>
    <row r="100" spans="1:5" x14ac:dyDescent="0.2">
      <c r="A100" t="str">
        <f>SchülerInnen!A100</f>
        <v>Scharfenstein</v>
      </c>
      <c r="B100" t="str">
        <f>SchülerInnen!B100</f>
        <v>Zoe</v>
      </c>
      <c r="C100" t="str">
        <f>SchülerInnen!E100</f>
        <v>zoe.scharfenstein@martinus-gymnasium.de</v>
      </c>
      <c r="D100" t="str">
        <f>SchülerInnen!F100</f>
        <v>9a</v>
      </c>
      <c r="E100" t="str">
        <f t="shared" si="1"/>
        <v>Scharfenstein;Zoe;zoe.scharfenstein@martinus-gymnasium.de;9a</v>
      </c>
    </row>
    <row r="101" spans="1:5" x14ac:dyDescent="0.2">
      <c r="A101" t="str">
        <f>SchülerInnen!A101</f>
        <v>Schlüter</v>
      </c>
      <c r="B101" t="str">
        <f>SchülerInnen!B101</f>
        <v>Ruby</v>
      </c>
      <c r="C101" t="str">
        <f>SchülerInnen!E101</f>
        <v>ruby.schlueter@martinus-gymnasium.de</v>
      </c>
      <c r="D101" t="str">
        <f>SchülerInnen!F101</f>
        <v>9a</v>
      </c>
      <c r="E101" t="str">
        <f t="shared" si="1"/>
        <v>Schlüter;Ruby;ruby.schlueter@martinus-gymnasium.de;9a</v>
      </c>
    </row>
    <row r="102" spans="1:5" x14ac:dyDescent="0.2">
      <c r="A102" t="str">
        <f>SchülerInnen!A102</f>
        <v>Schmitz</v>
      </c>
      <c r="B102" t="str">
        <f>SchülerInnen!B102</f>
        <v>Jonah</v>
      </c>
      <c r="C102" t="str">
        <f>SchülerInnen!E102</f>
        <v>jonah.schmitz@martinus-gymnasium.de</v>
      </c>
      <c r="D102" t="str">
        <f>SchülerInnen!F102</f>
        <v>9a</v>
      </c>
      <c r="E102" t="str">
        <f t="shared" si="1"/>
        <v>Schmitz;Jonah;jonah.schmitz@martinus-gymnasium.de;9a</v>
      </c>
    </row>
    <row r="103" spans="1:5" x14ac:dyDescent="0.2">
      <c r="A103" t="str">
        <f>SchülerInnen!A103</f>
        <v>Schneider</v>
      </c>
      <c r="B103" t="str">
        <f>SchülerInnen!B103</f>
        <v>Lena</v>
      </c>
      <c r="C103" t="str">
        <f>SchülerInnen!E103</f>
        <v>lena.schneider@martinus-gymnasium.de</v>
      </c>
      <c r="D103" t="str">
        <f>SchülerInnen!F103</f>
        <v>9a</v>
      </c>
      <c r="E103" t="str">
        <f t="shared" si="1"/>
        <v>Schneider;Lena;lena.schneider@martinus-gymnasium.de;9a</v>
      </c>
    </row>
    <row r="104" spans="1:5" x14ac:dyDescent="0.2">
      <c r="A104" t="str">
        <f>SchülerInnen!A104</f>
        <v>Schuh</v>
      </c>
      <c r="B104" t="str">
        <f>SchülerInnen!B104</f>
        <v>Fabian</v>
      </c>
      <c r="C104" t="str">
        <f>SchülerInnen!E104</f>
        <v>fabian.schuh@martinus-gymnasium.de</v>
      </c>
      <c r="D104" t="str">
        <f>SchülerInnen!F104</f>
        <v>9a</v>
      </c>
      <c r="E104" t="str">
        <f t="shared" si="1"/>
        <v>Schuh;Fabian;fabian.schuh@martinus-gymnasium.de;9a</v>
      </c>
    </row>
    <row r="105" spans="1:5" x14ac:dyDescent="0.2">
      <c r="A105" t="str">
        <f>SchülerInnen!A105</f>
        <v>Seidensticker</v>
      </c>
      <c r="B105" t="str">
        <f>SchülerInnen!B105</f>
        <v>Paula</v>
      </c>
      <c r="C105" t="str">
        <f>SchülerInnen!E105</f>
        <v>paula.seidensticker@martinus-gymnasium.de</v>
      </c>
      <c r="D105" t="str">
        <f>SchülerInnen!F105</f>
        <v>9a</v>
      </c>
      <c r="E105" t="str">
        <f t="shared" si="1"/>
        <v>Seidensticker;Paula;paula.seidensticker@martinus-gymnasium.de;9a</v>
      </c>
    </row>
    <row r="106" spans="1:5" x14ac:dyDescent="0.2">
      <c r="A106" t="str">
        <f>SchülerInnen!A106</f>
        <v>Seyffert</v>
      </c>
      <c r="B106" t="str">
        <f>SchülerInnen!B106</f>
        <v>Lisa Marie</v>
      </c>
      <c r="C106" t="str">
        <f>SchülerInnen!E106</f>
        <v>lisa.marie.seyffert@martinus-gymnasium.de</v>
      </c>
      <c r="D106" t="str">
        <f>SchülerInnen!F106</f>
        <v>9a</v>
      </c>
      <c r="E106" t="str">
        <f t="shared" si="1"/>
        <v>Seyffert;Lisa Marie;lisa.marie.seyffert@martinus-gymnasium.de;9a</v>
      </c>
    </row>
    <row r="107" spans="1:5" x14ac:dyDescent="0.2">
      <c r="A107" t="str">
        <f>SchülerInnen!A107</f>
        <v>Unsaeng</v>
      </c>
      <c r="B107" t="str">
        <f>SchülerInnen!B107</f>
        <v>Neo</v>
      </c>
      <c r="C107" t="str">
        <f>SchülerInnen!E107</f>
        <v>neo.unsaeng@martinus-gymnasium.de</v>
      </c>
      <c r="D107" t="str">
        <f>SchülerInnen!F107</f>
        <v>9a</v>
      </c>
      <c r="E107" t="str">
        <f t="shared" si="1"/>
        <v>Unsaeng;Neo;neo.unsaeng@martinus-gymnasium.de;9a</v>
      </c>
    </row>
    <row r="108" spans="1:5" x14ac:dyDescent="0.2">
      <c r="A108" t="str">
        <f>SchülerInnen!A108</f>
        <v>Zimmermann</v>
      </c>
      <c r="B108" t="str">
        <f>SchülerInnen!B108</f>
        <v>Darius</v>
      </c>
      <c r="C108" t="str">
        <f>SchülerInnen!E108</f>
        <v>darius.zimmermann@martinus-gymnasium.de</v>
      </c>
      <c r="D108" t="str">
        <f>SchülerInnen!F108</f>
        <v>9a</v>
      </c>
      <c r="E108" t="str">
        <f t="shared" si="1"/>
        <v>Zimmermann;Darius;darius.zimmermann@martinus-gymnasium.de;9a</v>
      </c>
    </row>
    <row r="109" spans="1:5" x14ac:dyDescent="0.2">
      <c r="A109" t="str">
        <f>SchülerInnen!A109</f>
        <v>Atzl</v>
      </c>
      <c r="B109" t="str">
        <f>SchülerInnen!B109</f>
        <v>Helena Maria</v>
      </c>
      <c r="C109" t="str">
        <f>SchülerInnen!E109</f>
        <v>helena.maria.atzl@martinus-gymnasium.de</v>
      </c>
      <c r="D109" t="str">
        <f>SchülerInnen!F109</f>
        <v>9b</v>
      </c>
      <c r="E109" t="str">
        <f t="shared" si="1"/>
        <v>Atzl;Helena Maria;helena.maria.atzl@martinus-gymnasium.de;9b</v>
      </c>
    </row>
    <row r="110" spans="1:5" x14ac:dyDescent="0.2">
      <c r="A110" t="str">
        <f>SchülerInnen!A110</f>
        <v>Bleckwenn</v>
      </c>
      <c r="B110" t="str">
        <f>SchülerInnen!B110</f>
        <v>Mira</v>
      </c>
      <c r="C110" t="str">
        <f>SchülerInnen!E110</f>
        <v>mira.bleckwenn@martinus-gymnasium.de</v>
      </c>
      <c r="D110" t="str">
        <f>SchülerInnen!F110</f>
        <v>9b</v>
      </c>
      <c r="E110" t="str">
        <f t="shared" si="1"/>
        <v>Bleckwenn;Mira;mira.bleckwenn@martinus-gymnasium.de;9b</v>
      </c>
    </row>
    <row r="111" spans="1:5" x14ac:dyDescent="0.2">
      <c r="A111" t="str">
        <f>SchülerInnen!A111</f>
        <v>Celik</v>
      </c>
      <c r="B111" t="str">
        <f>SchülerInnen!B111</f>
        <v>Azra</v>
      </c>
      <c r="C111" t="str">
        <f>SchülerInnen!E111</f>
        <v>azra.celik@martinus-gymnasium.de</v>
      </c>
      <c r="D111" t="str">
        <f>SchülerInnen!F111</f>
        <v>9b</v>
      </c>
      <c r="E111" t="str">
        <f t="shared" si="1"/>
        <v>Celik;Azra;azra.celik@martinus-gymnasium.de;9b</v>
      </c>
    </row>
    <row r="112" spans="1:5" x14ac:dyDescent="0.2">
      <c r="A112" t="str">
        <f>SchülerInnen!A112</f>
        <v>Dehms</v>
      </c>
      <c r="B112" t="str">
        <f>SchülerInnen!B112</f>
        <v>Tobias</v>
      </c>
      <c r="C112" t="str">
        <f>SchülerInnen!E112</f>
        <v>tobias.dehms@martinus-gymnasium.de</v>
      </c>
      <c r="D112" t="str">
        <f>SchülerInnen!F112</f>
        <v>9b</v>
      </c>
      <c r="E112" t="str">
        <f t="shared" si="1"/>
        <v>Dehms;Tobias;tobias.dehms@martinus-gymnasium.de;9b</v>
      </c>
    </row>
    <row r="113" spans="1:5" x14ac:dyDescent="0.2">
      <c r="A113" t="str">
        <f>SchülerInnen!A113</f>
        <v>Heinold</v>
      </c>
      <c r="B113" t="str">
        <f>SchülerInnen!B113</f>
        <v>Samuel</v>
      </c>
      <c r="C113" t="str">
        <f>SchülerInnen!E113</f>
        <v>samuel.heinold@martinus-gymnasium.de</v>
      </c>
      <c r="D113" t="str">
        <f>SchülerInnen!F113</f>
        <v>9b</v>
      </c>
      <c r="E113" t="str">
        <f t="shared" si="1"/>
        <v>Heinold;Samuel;samuel.heinold@martinus-gymnasium.de;9b</v>
      </c>
    </row>
    <row r="114" spans="1:5" x14ac:dyDescent="0.2">
      <c r="A114" t="str">
        <f>SchülerInnen!A114</f>
        <v>Herzog</v>
      </c>
      <c r="B114" t="str">
        <f>SchülerInnen!B114</f>
        <v>Felix</v>
      </c>
      <c r="C114" t="str">
        <f>SchülerInnen!E114</f>
        <v>felix.herzog@martinus-gymnasium.de</v>
      </c>
      <c r="D114" t="str">
        <f>SchülerInnen!F114</f>
        <v>9b</v>
      </c>
      <c r="E114" t="str">
        <f t="shared" si="1"/>
        <v>Herzog;Felix;felix.herzog@martinus-gymnasium.de;9b</v>
      </c>
    </row>
    <row r="115" spans="1:5" x14ac:dyDescent="0.2">
      <c r="A115" t="str">
        <f>SchülerInnen!A115</f>
        <v>Id</v>
      </c>
      <c r="B115" t="str">
        <f>SchülerInnen!B115</f>
        <v>Razan</v>
      </c>
      <c r="C115" t="str">
        <f>SchülerInnen!E115</f>
        <v>razan.id@martinus-gymnasium.de</v>
      </c>
      <c r="D115" t="str">
        <f>SchülerInnen!F115</f>
        <v>9b</v>
      </c>
      <c r="E115" t="str">
        <f t="shared" si="1"/>
        <v>Id;Razan;razan.id@martinus-gymnasium.de;9b</v>
      </c>
    </row>
    <row r="116" spans="1:5" x14ac:dyDescent="0.2">
      <c r="A116" t="str">
        <f>SchülerInnen!A116</f>
        <v>Kasperowicz</v>
      </c>
      <c r="B116" t="str">
        <f>SchülerInnen!B116</f>
        <v>Gracja Viktoria</v>
      </c>
      <c r="C116" t="str">
        <f>SchülerInnen!E116</f>
        <v>gracja.viktoria.kasperowicz@martinus-gymnasium.de</v>
      </c>
      <c r="D116" t="str">
        <f>SchülerInnen!F116</f>
        <v>9b</v>
      </c>
      <c r="E116" t="str">
        <f t="shared" si="1"/>
        <v>Kasperowicz;Gracja Viktoria;gracja.viktoria.kasperowicz@martinus-gymnasium.de;9b</v>
      </c>
    </row>
    <row r="117" spans="1:5" x14ac:dyDescent="0.2">
      <c r="A117" t="str">
        <f>SchülerInnen!A117</f>
        <v>Kilicaslan</v>
      </c>
      <c r="B117" t="str">
        <f>SchülerInnen!B117</f>
        <v>Baran</v>
      </c>
      <c r="C117" t="str">
        <f>SchülerInnen!E117</f>
        <v>baran.kilicaslan@martinus-gymnasium.de</v>
      </c>
      <c r="D117" t="str">
        <f>SchülerInnen!F117</f>
        <v>9b</v>
      </c>
      <c r="E117" t="str">
        <f t="shared" si="1"/>
        <v>Kilicaslan;Baran;baran.kilicaslan@martinus-gymnasium.de;9b</v>
      </c>
    </row>
    <row r="118" spans="1:5" x14ac:dyDescent="0.2">
      <c r="A118" t="str">
        <f>SchülerInnen!A118</f>
        <v>Koch</v>
      </c>
      <c r="B118" t="str">
        <f>SchülerInnen!B118</f>
        <v>Maximilian</v>
      </c>
      <c r="C118" t="str">
        <f>SchülerInnen!E118</f>
        <v>maximilian.koch@martinus-gymnasium.de</v>
      </c>
      <c r="D118" t="str">
        <f>SchülerInnen!F118</f>
        <v>9b</v>
      </c>
      <c r="E118" t="str">
        <f t="shared" si="1"/>
        <v>Koch;Maximilian;maximilian.koch@martinus-gymnasium.de;9b</v>
      </c>
    </row>
    <row r="119" spans="1:5" x14ac:dyDescent="0.2">
      <c r="A119" t="str">
        <f>SchülerInnen!A119</f>
        <v>Kolfenbach</v>
      </c>
      <c r="B119" t="str">
        <f>SchülerInnen!B119</f>
        <v>Dorian</v>
      </c>
      <c r="C119" t="str">
        <f>SchülerInnen!E119</f>
        <v>dorian.kolfenbach@martinus-gymnasium.de</v>
      </c>
      <c r="D119" t="str">
        <f>SchülerInnen!F119</f>
        <v>9b</v>
      </c>
      <c r="E119" t="str">
        <f t="shared" si="1"/>
        <v>Kolfenbach;Dorian;dorian.kolfenbach@martinus-gymnasium.de;9b</v>
      </c>
    </row>
    <row r="120" spans="1:5" x14ac:dyDescent="0.2">
      <c r="A120" t="str">
        <f>SchülerInnen!A120</f>
        <v>Krudwig</v>
      </c>
      <c r="B120" t="str">
        <f>SchülerInnen!B120</f>
        <v>Lia</v>
      </c>
      <c r="C120" t="str">
        <f>SchülerInnen!E120</f>
        <v>lia.krudwig@martinus-gymnasium.de</v>
      </c>
      <c r="D120" t="str">
        <f>SchülerInnen!F120</f>
        <v>9b</v>
      </c>
      <c r="E120" t="str">
        <f t="shared" si="1"/>
        <v>Krudwig;Lia;lia.krudwig@martinus-gymnasium.de;9b</v>
      </c>
    </row>
    <row r="121" spans="1:5" x14ac:dyDescent="0.2">
      <c r="A121" t="str">
        <f>SchülerInnen!A121</f>
        <v>Lange</v>
      </c>
      <c r="B121" t="str">
        <f>SchülerInnen!B121</f>
        <v>Pascal</v>
      </c>
      <c r="C121" t="str">
        <f>SchülerInnen!E121</f>
        <v>pascal.lange@martinus-gymnasium.de</v>
      </c>
      <c r="D121" t="str">
        <f>SchülerInnen!F121</f>
        <v>9b</v>
      </c>
      <c r="E121" t="str">
        <f t="shared" si="1"/>
        <v>Lange;Pascal;pascal.lange@martinus-gymnasium.de;9b</v>
      </c>
    </row>
    <row r="122" spans="1:5" x14ac:dyDescent="0.2">
      <c r="A122" t="str">
        <f>SchülerInnen!A122</f>
        <v>Mende</v>
      </c>
      <c r="B122" t="str">
        <f>SchülerInnen!B122</f>
        <v>Sophia</v>
      </c>
      <c r="C122" t="str">
        <f>SchülerInnen!E122</f>
        <v>sophia.mende@martinus-gymnasium.de</v>
      </c>
      <c r="D122" t="str">
        <f>SchülerInnen!F122</f>
        <v>9b</v>
      </c>
      <c r="E122" t="str">
        <f t="shared" si="1"/>
        <v>Mende;Sophia;sophia.mende@martinus-gymnasium.de;9b</v>
      </c>
    </row>
    <row r="123" spans="1:5" x14ac:dyDescent="0.2">
      <c r="A123" t="str">
        <f>SchülerInnen!A123</f>
        <v>Moll</v>
      </c>
      <c r="B123" t="str">
        <f>SchülerInnen!B123</f>
        <v>Laurin Jonathan</v>
      </c>
      <c r="C123" t="str">
        <f>SchülerInnen!E123</f>
        <v>laurin.jonathan.moll@martinus-gymnasium.de</v>
      </c>
      <c r="D123" t="str">
        <f>SchülerInnen!F123</f>
        <v>9b</v>
      </c>
      <c r="E123" t="str">
        <f t="shared" si="1"/>
        <v>Moll;Laurin Jonathan;laurin.jonathan.moll@martinus-gymnasium.de;9b</v>
      </c>
    </row>
    <row r="124" spans="1:5" x14ac:dyDescent="0.2">
      <c r="A124" t="str">
        <f>SchülerInnen!A124</f>
        <v>Musah</v>
      </c>
      <c r="B124" t="str">
        <f>SchülerInnen!B124</f>
        <v>Sherifa-Mandeeya</v>
      </c>
      <c r="C124" t="str">
        <f>SchülerInnen!E124</f>
        <v>sherifa.mandeeya.musah@martinus-gymnasium.de</v>
      </c>
      <c r="D124" t="str">
        <f>SchülerInnen!F124</f>
        <v>9b</v>
      </c>
      <c r="E124" t="str">
        <f t="shared" si="1"/>
        <v>Musah;Sherifa-Mandeeya;sherifa.mandeeya.musah@martinus-gymnasium.de;9b</v>
      </c>
    </row>
    <row r="125" spans="1:5" x14ac:dyDescent="0.2">
      <c r="A125" t="str">
        <f>SchülerInnen!A125</f>
        <v>Nietzard</v>
      </c>
      <c r="B125" t="str">
        <f>SchülerInnen!B125</f>
        <v>Malou</v>
      </c>
      <c r="C125" t="str">
        <f>SchülerInnen!E125</f>
        <v>malou.nietzard@martinus-gymnasium.de</v>
      </c>
      <c r="D125" t="str">
        <f>SchülerInnen!F125</f>
        <v>9b</v>
      </c>
      <c r="E125" t="str">
        <f t="shared" si="1"/>
        <v>Nietzard;Malou;malou.nietzard@martinus-gymnasium.de;9b</v>
      </c>
    </row>
    <row r="126" spans="1:5" x14ac:dyDescent="0.2">
      <c r="A126" t="str">
        <f>SchülerInnen!A126</f>
        <v>Nowack</v>
      </c>
      <c r="B126" t="str">
        <f>SchülerInnen!B126</f>
        <v>Milan</v>
      </c>
      <c r="C126" t="str">
        <f>SchülerInnen!E126</f>
        <v>milan.nowack@martinus-gymnasium.de</v>
      </c>
      <c r="D126" t="str">
        <f>SchülerInnen!F126</f>
        <v>9b</v>
      </c>
      <c r="E126" t="str">
        <f t="shared" si="1"/>
        <v>Nowack;Milan;milan.nowack@martinus-gymnasium.de;9b</v>
      </c>
    </row>
    <row r="127" spans="1:5" x14ac:dyDescent="0.2">
      <c r="A127" t="str">
        <f>SchülerInnen!A127</f>
        <v>Reetz</v>
      </c>
      <c r="B127" t="str">
        <f>SchülerInnen!B127</f>
        <v>Luis</v>
      </c>
      <c r="C127" t="str">
        <f>SchülerInnen!E127</f>
        <v>luis.reetz@martinus-gymnasium.de</v>
      </c>
      <c r="D127" t="str">
        <f>SchülerInnen!F127</f>
        <v>9b</v>
      </c>
      <c r="E127" t="str">
        <f t="shared" si="1"/>
        <v>Reetz;Luis;luis.reetz@martinus-gymnasium.de;9b</v>
      </c>
    </row>
    <row r="128" spans="1:5" x14ac:dyDescent="0.2">
      <c r="A128" t="str">
        <f>SchülerInnen!A128</f>
        <v>Reinartz</v>
      </c>
      <c r="B128" t="str">
        <f>SchülerInnen!B128</f>
        <v>Simon</v>
      </c>
      <c r="C128" t="str">
        <f>SchülerInnen!E128</f>
        <v>simon.reinartz@martinus-gymnasium.de</v>
      </c>
      <c r="D128" t="str">
        <f>SchülerInnen!F128</f>
        <v>9b</v>
      </c>
      <c r="E128" t="str">
        <f t="shared" si="1"/>
        <v>Reinartz;Simon;simon.reinartz@martinus-gymnasium.de;9b</v>
      </c>
    </row>
    <row r="129" spans="1:5" x14ac:dyDescent="0.2">
      <c r="A129" t="str">
        <f>SchülerInnen!A129</f>
        <v>Richarz</v>
      </c>
      <c r="B129" t="str">
        <f>SchülerInnen!B129</f>
        <v>Thomas</v>
      </c>
      <c r="C129" t="str">
        <f>SchülerInnen!E129</f>
        <v>thomas.richarz@martinus-gymnasium.de</v>
      </c>
      <c r="D129" t="str">
        <f>SchülerInnen!F129</f>
        <v>9b</v>
      </c>
      <c r="E129" t="str">
        <f t="shared" si="1"/>
        <v>Richarz;Thomas;thomas.richarz@martinus-gymnasium.de;9b</v>
      </c>
    </row>
    <row r="130" spans="1:5" x14ac:dyDescent="0.2">
      <c r="A130" t="str">
        <f>SchülerInnen!A130</f>
        <v>Römer</v>
      </c>
      <c r="B130" t="str">
        <f>SchülerInnen!B130</f>
        <v>Paula</v>
      </c>
      <c r="C130" t="str">
        <f>SchülerInnen!E130</f>
        <v>paula.roemer@martinus-gymnasium.de</v>
      </c>
      <c r="D130" t="str">
        <f>SchülerInnen!F130</f>
        <v>9b</v>
      </c>
      <c r="E130" t="str">
        <f t="shared" si="1"/>
        <v>Römer;Paula;paula.roemer@martinus-gymnasium.de;9b</v>
      </c>
    </row>
    <row r="131" spans="1:5" x14ac:dyDescent="0.2">
      <c r="A131" t="str">
        <f>SchülerInnen!A131</f>
        <v>Rondot</v>
      </c>
      <c r="B131" t="str">
        <f>SchülerInnen!B131</f>
        <v>Lotta</v>
      </c>
      <c r="C131" t="str">
        <f>SchülerInnen!E131</f>
        <v>lotta.rondot@martinus-gymnasium.de</v>
      </c>
      <c r="D131" t="str">
        <f>SchülerInnen!F131</f>
        <v>9b</v>
      </c>
      <c r="E131" t="str">
        <f t="shared" ref="E131:E194" si="2">_xlfn.TEXTJOIN(";",FALSE,A131:D131)</f>
        <v>Rondot;Lotta;lotta.rondot@martinus-gymnasium.de;9b</v>
      </c>
    </row>
    <row r="132" spans="1:5" x14ac:dyDescent="0.2">
      <c r="A132" t="str">
        <f>SchülerInnen!A132</f>
        <v>Stein</v>
      </c>
      <c r="B132" t="str">
        <f>SchülerInnen!B132</f>
        <v>Ida-Marie</v>
      </c>
      <c r="C132" t="str">
        <f>SchülerInnen!E132</f>
        <v>ida.marie.stein@martinus-gymnasium.de</v>
      </c>
      <c r="D132" t="str">
        <f>SchülerInnen!F132</f>
        <v>9b</v>
      </c>
      <c r="E132" t="str">
        <f t="shared" si="2"/>
        <v>Stein;Ida-Marie;ida.marie.stein@martinus-gymnasium.de;9b</v>
      </c>
    </row>
    <row r="133" spans="1:5" x14ac:dyDescent="0.2">
      <c r="A133" t="str">
        <f>SchülerInnen!A133</f>
        <v>Waldek</v>
      </c>
      <c r="B133" t="str">
        <f>SchülerInnen!B133</f>
        <v>Jonas</v>
      </c>
      <c r="C133" t="str">
        <f>SchülerInnen!E133</f>
        <v>jonas.waldek@martinus-gymnasium.de</v>
      </c>
      <c r="D133" t="str">
        <f>SchülerInnen!F133</f>
        <v>9b</v>
      </c>
      <c r="E133" t="str">
        <f t="shared" si="2"/>
        <v>Waldek;Jonas;jonas.waldek@martinus-gymnasium.de;9b</v>
      </c>
    </row>
    <row r="134" spans="1:5" x14ac:dyDescent="0.2">
      <c r="A134" t="str">
        <f>SchülerInnen!A134</f>
        <v>Walker</v>
      </c>
      <c r="B134" t="str">
        <f>SchülerInnen!B134</f>
        <v>Marius</v>
      </c>
      <c r="C134" t="str">
        <f>SchülerInnen!E134</f>
        <v>marius.walker@martinus-gymnasium.de</v>
      </c>
      <c r="D134" t="str">
        <f>SchülerInnen!F134</f>
        <v>9b</v>
      </c>
      <c r="E134" t="str">
        <f t="shared" si="2"/>
        <v>Walker;Marius;marius.walker@martinus-gymnasium.de;9b</v>
      </c>
    </row>
    <row r="135" spans="1:5" x14ac:dyDescent="0.2">
      <c r="A135" t="str">
        <f>SchülerInnen!A135</f>
        <v>Barth</v>
      </c>
      <c r="B135" t="str">
        <f>SchülerInnen!B135</f>
        <v>Mia</v>
      </c>
      <c r="C135" t="str">
        <f>SchülerInnen!E135</f>
        <v>mia.barth@martinus-gymnasium.de</v>
      </c>
      <c r="D135" t="str">
        <f>SchülerInnen!F135</f>
        <v>9c</v>
      </c>
      <c r="E135" t="str">
        <f t="shared" si="2"/>
        <v>Barth;Mia;mia.barth@martinus-gymnasium.de;9c</v>
      </c>
    </row>
    <row r="136" spans="1:5" x14ac:dyDescent="0.2">
      <c r="A136" t="str">
        <f>SchülerInnen!A136</f>
        <v>Bell</v>
      </c>
      <c r="B136" t="str">
        <f>SchülerInnen!B136</f>
        <v>Lennox</v>
      </c>
      <c r="C136" t="str">
        <f>SchülerInnen!E136</f>
        <v>lennox.bell@martinus-gymnasium.de</v>
      </c>
      <c r="D136" t="str">
        <f>SchülerInnen!F136</f>
        <v>9c</v>
      </c>
      <c r="E136" t="str">
        <f t="shared" si="2"/>
        <v>Bell;Lennox;lennox.bell@martinus-gymnasium.de;9c</v>
      </c>
    </row>
    <row r="137" spans="1:5" x14ac:dyDescent="0.2">
      <c r="A137" t="str">
        <f>SchülerInnen!A137</f>
        <v>Blank</v>
      </c>
      <c r="B137" t="str">
        <f>SchülerInnen!B137</f>
        <v>Janne</v>
      </c>
      <c r="C137" t="str">
        <f>SchülerInnen!E137</f>
        <v>janne.blank@martinus-gymnasium.de</v>
      </c>
      <c r="D137" t="str">
        <f>SchülerInnen!F137</f>
        <v>9c</v>
      </c>
      <c r="E137" t="str">
        <f t="shared" si="2"/>
        <v>Blank;Janne;janne.blank@martinus-gymnasium.de;9c</v>
      </c>
    </row>
    <row r="138" spans="1:5" x14ac:dyDescent="0.2">
      <c r="A138" t="str">
        <f>SchülerInnen!A138</f>
        <v>Bock</v>
      </c>
      <c r="B138" t="str">
        <f>SchülerInnen!B138</f>
        <v>Justus</v>
      </c>
      <c r="C138" t="str">
        <f>SchülerInnen!E138</f>
        <v>justus.bock@martinus-gymnasium.de</v>
      </c>
      <c r="D138" t="str">
        <f>SchülerInnen!F138</f>
        <v>9c</v>
      </c>
      <c r="E138" t="str">
        <f t="shared" si="2"/>
        <v>Bock;Justus;justus.bock@martinus-gymnasium.de;9c</v>
      </c>
    </row>
    <row r="139" spans="1:5" x14ac:dyDescent="0.2">
      <c r="A139" t="str">
        <f>SchülerInnen!A139</f>
        <v>Chaisree</v>
      </c>
      <c r="B139" t="str">
        <f>SchülerInnen!B139</f>
        <v>Kwanchnok</v>
      </c>
      <c r="C139" t="str">
        <f>SchülerInnen!E139</f>
        <v>kwanchnok.chaisree@martinus-gymnasium.de</v>
      </c>
      <c r="D139" t="str">
        <f>SchülerInnen!F139</f>
        <v>9c</v>
      </c>
      <c r="E139" t="str">
        <f t="shared" si="2"/>
        <v>Chaisree;Kwanchnok;kwanchnok.chaisree@martinus-gymnasium.de;9c</v>
      </c>
    </row>
    <row r="140" spans="1:5" x14ac:dyDescent="0.2">
      <c r="A140" t="str">
        <f>SchülerInnen!A140</f>
        <v>Drehjou</v>
      </c>
      <c r="B140" t="str">
        <f>SchülerInnen!B140</f>
        <v>Mohammed</v>
      </c>
      <c r="C140" t="str">
        <f>SchülerInnen!E140</f>
        <v>mohammed.drehjou@martinus-gymnasium.de</v>
      </c>
      <c r="D140" t="str">
        <f>SchülerInnen!F140</f>
        <v>9c</v>
      </c>
      <c r="E140" t="str">
        <f t="shared" si="2"/>
        <v>Drehjou;Mohammed;mohammed.drehjou@martinus-gymnasium.de;9c</v>
      </c>
    </row>
    <row r="141" spans="1:5" x14ac:dyDescent="0.2">
      <c r="A141" t="str">
        <f>SchülerInnen!A141</f>
        <v>Dünnes</v>
      </c>
      <c r="B141" t="str">
        <f>SchülerInnen!B141</f>
        <v>Marie Sophie</v>
      </c>
      <c r="C141" t="str">
        <f>SchülerInnen!E141</f>
        <v>marie.sophie.duennes@martinus-gymnasium.de</v>
      </c>
      <c r="D141" t="str">
        <f>SchülerInnen!F141</f>
        <v>9c</v>
      </c>
      <c r="E141" t="str">
        <f t="shared" si="2"/>
        <v>Dünnes;Marie Sophie;marie.sophie.duennes@martinus-gymnasium.de;9c</v>
      </c>
    </row>
    <row r="142" spans="1:5" x14ac:dyDescent="0.2">
      <c r="A142" t="str">
        <f>SchülerInnen!A142</f>
        <v>Esch</v>
      </c>
      <c r="B142" t="str">
        <f>SchülerInnen!B142</f>
        <v>Christina</v>
      </c>
      <c r="C142" t="str">
        <f>SchülerInnen!E142</f>
        <v>christina.esch@martinus-gymnasium.de</v>
      </c>
      <c r="D142" t="str">
        <f>SchülerInnen!F142</f>
        <v>9c</v>
      </c>
      <c r="E142" t="str">
        <f t="shared" si="2"/>
        <v>Esch;Christina;christina.esch@martinus-gymnasium.de;9c</v>
      </c>
    </row>
    <row r="143" spans="1:5" x14ac:dyDescent="0.2">
      <c r="A143" t="str">
        <f>SchülerInnen!A143</f>
        <v>Frömbgen</v>
      </c>
      <c r="B143" t="str">
        <f>SchülerInnen!B143</f>
        <v>David</v>
      </c>
      <c r="C143" t="str">
        <f>SchülerInnen!E143</f>
        <v>david.froembgen@martinus-gymnasium.de</v>
      </c>
      <c r="D143" t="str">
        <f>SchülerInnen!F143</f>
        <v>9c</v>
      </c>
      <c r="E143" t="str">
        <f t="shared" si="2"/>
        <v>Frömbgen;David;david.froembgen@martinus-gymnasium.de;9c</v>
      </c>
    </row>
    <row r="144" spans="1:5" x14ac:dyDescent="0.2">
      <c r="A144" t="str">
        <f>SchülerInnen!A144</f>
        <v>Frömbgen</v>
      </c>
      <c r="B144" t="str">
        <f>SchülerInnen!B144</f>
        <v>Lara</v>
      </c>
      <c r="C144" t="str">
        <f>SchülerInnen!E144</f>
        <v>lara.froembgen@martinus-gymnasium.de</v>
      </c>
      <c r="D144" t="str">
        <f>SchülerInnen!F144</f>
        <v>9c</v>
      </c>
      <c r="E144" t="str">
        <f t="shared" si="2"/>
        <v>Frömbgen;Lara;lara.froembgen@martinus-gymnasium.de;9c</v>
      </c>
    </row>
    <row r="145" spans="1:5" x14ac:dyDescent="0.2">
      <c r="A145" t="str">
        <f>SchülerInnen!A145</f>
        <v>Gashi</v>
      </c>
      <c r="B145" t="str">
        <f>SchülerInnen!B145</f>
        <v>Loriana</v>
      </c>
      <c r="C145" t="str">
        <f>SchülerInnen!E145</f>
        <v>loriana.gashi@martinus-gymnasium.de</v>
      </c>
      <c r="D145" t="str">
        <f>SchülerInnen!F145</f>
        <v>9c</v>
      </c>
      <c r="E145" t="str">
        <f t="shared" si="2"/>
        <v>Gashi;Loriana;loriana.gashi@martinus-gymnasium.de;9c</v>
      </c>
    </row>
    <row r="146" spans="1:5" x14ac:dyDescent="0.2">
      <c r="A146" t="str">
        <f>SchülerInnen!A146</f>
        <v>Hausen</v>
      </c>
      <c r="B146" t="str">
        <f>SchülerInnen!B146</f>
        <v>Greta</v>
      </c>
      <c r="C146" t="str">
        <f>SchülerInnen!E146</f>
        <v>greta.hausen@martinus-gymnasium.de</v>
      </c>
      <c r="D146" t="str">
        <f>SchülerInnen!F146</f>
        <v>9c</v>
      </c>
      <c r="E146" t="str">
        <f t="shared" si="2"/>
        <v>Hausen;Greta;greta.hausen@martinus-gymnasium.de;9c</v>
      </c>
    </row>
    <row r="147" spans="1:5" x14ac:dyDescent="0.2">
      <c r="A147" t="str">
        <f>SchülerInnen!A147</f>
        <v>Hramov</v>
      </c>
      <c r="B147" t="str">
        <f>SchülerInnen!B147</f>
        <v>Darija</v>
      </c>
      <c r="C147" t="str">
        <f>SchülerInnen!E147</f>
        <v>darija.hramov@martinus-gymnasium.de</v>
      </c>
      <c r="D147" t="str">
        <f>SchülerInnen!F147</f>
        <v>9c</v>
      </c>
      <c r="E147" t="str">
        <f t="shared" si="2"/>
        <v>Hramov;Darija;darija.hramov@martinus-gymnasium.de;9c</v>
      </c>
    </row>
    <row r="148" spans="1:5" x14ac:dyDescent="0.2">
      <c r="A148" t="str">
        <f>SchülerInnen!A148</f>
        <v>Jütte</v>
      </c>
      <c r="B148" t="str">
        <f>SchülerInnen!B148</f>
        <v>Manuel</v>
      </c>
      <c r="C148" t="str">
        <f>SchülerInnen!E148</f>
        <v>manuel.juette@martinus-gymnasium.de</v>
      </c>
      <c r="D148" t="str">
        <f>SchülerInnen!F148</f>
        <v>9c</v>
      </c>
      <c r="E148" t="str">
        <f t="shared" si="2"/>
        <v>Jütte;Manuel;manuel.juette@martinus-gymnasium.de;9c</v>
      </c>
    </row>
    <row r="149" spans="1:5" x14ac:dyDescent="0.2">
      <c r="A149" t="str">
        <f>SchülerInnen!A149</f>
        <v>Kasapovic</v>
      </c>
      <c r="B149" t="str">
        <f>SchülerInnen!B149</f>
        <v>Amir</v>
      </c>
      <c r="C149" t="str">
        <f>SchülerInnen!E149</f>
        <v>amir.kasapovic@martinus-gymnasium.de</v>
      </c>
      <c r="D149" t="str">
        <f>SchülerInnen!F149</f>
        <v>9c</v>
      </c>
      <c r="E149" t="str">
        <f t="shared" si="2"/>
        <v>Kasapovic;Amir;amir.kasapovic@martinus-gymnasium.de;9c</v>
      </c>
    </row>
    <row r="150" spans="1:5" x14ac:dyDescent="0.2">
      <c r="A150" t="str">
        <f>SchülerInnen!A150</f>
        <v>Khazdouzian</v>
      </c>
      <c r="B150" t="str">
        <f>SchülerInnen!B150</f>
        <v>Jona</v>
      </c>
      <c r="C150" t="str">
        <f>SchülerInnen!E150</f>
        <v>jona.khazdouzian@martinus-gymnasium.de</v>
      </c>
      <c r="D150" t="str">
        <f>SchülerInnen!F150</f>
        <v>9c</v>
      </c>
      <c r="E150" t="str">
        <f t="shared" si="2"/>
        <v>Khazdouzian;Jona;jona.khazdouzian@martinus-gymnasium.de;9c</v>
      </c>
    </row>
    <row r="151" spans="1:5" x14ac:dyDescent="0.2">
      <c r="A151" t="str">
        <f>SchülerInnen!A151</f>
        <v>Peukert</v>
      </c>
      <c r="B151" t="str">
        <f>SchülerInnen!B151</f>
        <v>Charlotte</v>
      </c>
      <c r="C151" t="str">
        <f>SchülerInnen!E151</f>
        <v>charlotte.peukert@martinus-gymnasium.de</v>
      </c>
      <c r="D151" t="str">
        <f>SchülerInnen!F151</f>
        <v>9c</v>
      </c>
      <c r="E151" t="str">
        <f t="shared" si="2"/>
        <v>Peukert;Charlotte;charlotte.peukert@martinus-gymnasium.de;9c</v>
      </c>
    </row>
    <row r="152" spans="1:5" x14ac:dyDescent="0.2">
      <c r="A152" t="str">
        <f>SchülerInnen!A152</f>
        <v>Reicke</v>
      </c>
      <c r="B152" t="str">
        <f>SchülerInnen!B152</f>
        <v>Konrad</v>
      </c>
      <c r="C152" t="str">
        <f>SchülerInnen!E152</f>
        <v>konrad.reicke@martinus-gymnasium.de</v>
      </c>
      <c r="D152" t="str">
        <f>SchülerInnen!F152</f>
        <v>9c</v>
      </c>
      <c r="E152" t="str">
        <f t="shared" si="2"/>
        <v>Reicke;Konrad;konrad.reicke@martinus-gymnasium.de;9c</v>
      </c>
    </row>
    <row r="153" spans="1:5" x14ac:dyDescent="0.2">
      <c r="A153" t="str">
        <f>SchülerInnen!A153</f>
        <v>Schmitz</v>
      </c>
      <c r="B153" t="str">
        <f>SchülerInnen!B153</f>
        <v>Lana</v>
      </c>
      <c r="C153" t="str">
        <f>SchülerInnen!E153</f>
        <v>lana.schmitz@martinus-gymnasium.de</v>
      </c>
      <c r="D153" t="str">
        <f>SchülerInnen!F153</f>
        <v>9c</v>
      </c>
      <c r="E153" t="str">
        <f t="shared" si="2"/>
        <v>Schmitz;Lana;lana.schmitz@martinus-gymnasium.de;9c</v>
      </c>
    </row>
    <row r="154" spans="1:5" x14ac:dyDescent="0.2">
      <c r="A154" t="str">
        <f>SchülerInnen!A154</f>
        <v>Sülzer</v>
      </c>
      <c r="B154" t="str">
        <f>SchülerInnen!B154</f>
        <v>Frieda</v>
      </c>
      <c r="C154" t="str">
        <f>SchülerInnen!E154</f>
        <v>frieda.suelzer@martinus-gymnasium.de</v>
      </c>
      <c r="D154" t="str">
        <f>SchülerInnen!F154</f>
        <v>9c</v>
      </c>
      <c r="E154" t="str">
        <f t="shared" si="2"/>
        <v>Sülzer;Frieda;frieda.suelzer@martinus-gymnasium.de;9c</v>
      </c>
    </row>
    <row r="155" spans="1:5" x14ac:dyDescent="0.2">
      <c r="A155" t="str">
        <f>SchülerInnen!A155</f>
        <v>Wierschem</v>
      </c>
      <c r="B155" t="str">
        <f>SchülerInnen!B155</f>
        <v>Josephine</v>
      </c>
      <c r="C155" t="str">
        <f>SchülerInnen!E155</f>
        <v>josephine.wierschem@martinus-gymnasium.de</v>
      </c>
      <c r="D155" t="str">
        <f>SchülerInnen!F155</f>
        <v>9c</v>
      </c>
      <c r="E155" t="str">
        <f t="shared" si="2"/>
        <v>Wierschem;Josephine;josephine.wierschem@martinus-gymnasium.de;9c</v>
      </c>
    </row>
    <row r="156" spans="1:5" x14ac:dyDescent="0.2">
      <c r="A156" t="str">
        <f>SchülerInnen!A156</f>
        <v>Winkler</v>
      </c>
      <c r="B156" t="str">
        <f>SchülerInnen!B156</f>
        <v>Sophia</v>
      </c>
      <c r="C156" t="str">
        <f>SchülerInnen!E156</f>
        <v>sophia.winkler@martinus-gymnasium.de</v>
      </c>
      <c r="D156" t="str">
        <f>SchülerInnen!F156</f>
        <v>9c</v>
      </c>
      <c r="E156" t="str">
        <f t="shared" si="2"/>
        <v>Winkler;Sophia;sophia.winkler@martinus-gymnasium.de;9c</v>
      </c>
    </row>
    <row r="157" spans="1:5" x14ac:dyDescent="0.2">
      <c r="A157" t="str">
        <f>SchülerInnen!A157</f>
        <v>Zeiler</v>
      </c>
      <c r="B157" t="str">
        <f>SchülerInnen!B157</f>
        <v>Takumi</v>
      </c>
      <c r="C157" t="str">
        <f>SchülerInnen!E157</f>
        <v>takumi.zeiler@martinus-gymnasium.de</v>
      </c>
      <c r="D157" t="str">
        <f>SchülerInnen!F157</f>
        <v>9c</v>
      </c>
      <c r="E157" t="str">
        <f t="shared" si="2"/>
        <v>Zeiler;Takumi;takumi.zeiler@martinus-gymnasium.de;9c</v>
      </c>
    </row>
    <row r="158" spans="1:5" x14ac:dyDescent="0.2">
      <c r="A158" t="str">
        <f>SchülerInnen!A158</f>
        <v>Zilles</v>
      </c>
      <c r="B158" t="str">
        <f>SchülerInnen!B158</f>
        <v>Lia</v>
      </c>
      <c r="C158" t="str">
        <f>SchülerInnen!E158</f>
        <v>lia.zilles@martinus-gymnasium.de</v>
      </c>
      <c r="D158" t="str">
        <f>SchülerInnen!F158</f>
        <v>9c</v>
      </c>
      <c r="E158" t="str">
        <f t="shared" si="2"/>
        <v>Zilles;Lia;lia.zilles@martinus-gymnasium.de;9c</v>
      </c>
    </row>
    <row r="159" spans="1:5" x14ac:dyDescent="0.2">
      <c r="A159" t="str">
        <f>SchülerInnen!A159</f>
        <v>Alabdullah</v>
      </c>
      <c r="B159" t="str">
        <f>SchülerInnen!B159</f>
        <v>Ibrahim</v>
      </c>
      <c r="C159" t="str">
        <f>SchülerInnen!E159</f>
        <v>ibrahim.alabdullah@martinus-gymnasium.de</v>
      </c>
      <c r="D159" t="str">
        <f>SchülerInnen!F159</f>
        <v>9d</v>
      </c>
      <c r="E159" t="str">
        <f t="shared" si="2"/>
        <v>Alabdullah;Ibrahim;ibrahim.alabdullah@martinus-gymnasium.de;9d</v>
      </c>
    </row>
    <row r="160" spans="1:5" x14ac:dyDescent="0.2">
      <c r="A160" t="str">
        <f>SchülerInnen!A160</f>
        <v>Asteroth</v>
      </c>
      <c r="B160" t="str">
        <f>SchülerInnen!B160</f>
        <v>Emma</v>
      </c>
      <c r="C160" t="str">
        <f>SchülerInnen!E160</f>
        <v>emma.asteroth@martinus-gymnasium.de</v>
      </c>
      <c r="D160" t="str">
        <f>SchülerInnen!F160</f>
        <v>9d</v>
      </c>
      <c r="E160" t="str">
        <f t="shared" si="2"/>
        <v>Asteroth;Emma;emma.asteroth@martinus-gymnasium.de;9d</v>
      </c>
    </row>
    <row r="161" spans="1:5" x14ac:dyDescent="0.2">
      <c r="A161" t="str">
        <f>SchülerInnen!A161</f>
        <v>Avdiu</v>
      </c>
      <c r="B161" t="str">
        <f>SchülerInnen!B161</f>
        <v>Ardit</v>
      </c>
      <c r="C161" t="str">
        <f>SchülerInnen!E161</f>
        <v>ardit.avdiu@martinus-gymnasium.de</v>
      </c>
      <c r="D161" t="str">
        <f>SchülerInnen!F161</f>
        <v>9d</v>
      </c>
      <c r="E161" t="str">
        <f t="shared" si="2"/>
        <v>Avdiu;Ardit;ardit.avdiu@martinus-gymnasium.de;9d</v>
      </c>
    </row>
    <row r="162" spans="1:5" x14ac:dyDescent="0.2">
      <c r="A162" t="str">
        <f>SchülerInnen!A162</f>
        <v>Baqeri</v>
      </c>
      <c r="B162" t="str">
        <f>SchülerInnen!B162</f>
        <v>Melika</v>
      </c>
      <c r="C162" t="str">
        <f>SchülerInnen!E162</f>
        <v>melika.baqeri@martinus-gymnasium.de</v>
      </c>
      <c r="D162" t="str">
        <f>SchülerInnen!F162</f>
        <v>9d</v>
      </c>
      <c r="E162" t="str">
        <f t="shared" si="2"/>
        <v>Baqeri;Melika;melika.baqeri@martinus-gymnasium.de;9d</v>
      </c>
    </row>
    <row r="163" spans="1:5" x14ac:dyDescent="0.2">
      <c r="A163" t="str">
        <f>SchülerInnen!A163</f>
        <v>Boshtraj</v>
      </c>
      <c r="B163" t="str">
        <f>SchülerInnen!B163</f>
        <v>Rina</v>
      </c>
      <c r="C163" t="str">
        <f>SchülerInnen!E163</f>
        <v>rina.boshtraj@martinus-gymnasium.de</v>
      </c>
      <c r="D163" t="str">
        <f>SchülerInnen!F163</f>
        <v>9d</v>
      </c>
      <c r="E163" t="str">
        <f t="shared" si="2"/>
        <v>Boshtraj;Rina;rina.boshtraj@martinus-gymnasium.de;9d</v>
      </c>
    </row>
    <row r="164" spans="1:5" x14ac:dyDescent="0.2">
      <c r="A164" t="str">
        <f>SchülerInnen!A164</f>
        <v>Braun</v>
      </c>
      <c r="B164" t="str">
        <f>SchülerInnen!B164</f>
        <v>Nico</v>
      </c>
      <c r="C164" t="str">
        <f>SchülerInnen!E164</f>
        <v>nico.braun@martinus-gymnasium.de</v>
      </c>
      <c r="D164" t="str">
        <f>SchülerInnen!F164</f>
        <v>9d</v>
      </c>
      <c r="E164" t="str">
        <f t="shared" si="2"/>
        <v>Braun;Nico;nico.braun@martinus-gymnasium.de;9d</v>
      </c>
    </row>
    <row r="165" spans="1:5" x14ac:dyDescent="0.2">
      <c r="A165" t="str">
        <f>SchülerInnen!A165</f>
        <v>Bunjaku</v>
      </c>
      <c r="B165" t="str">
        <f>SchülerInnen!B165</f>
        <v>Léon</v>
      </c>
      <c r="C165" t="str">
        <f>SchülerInnen!E165</f>
        <v>leon.bunjaku@martinus-gymnasium.de</v>
      </c>
      <c r="D165" t="str">
        <f>SchülerInnen!F165</f>
        <v>9d</v>
      </c>
      <c r="E165" t="str">
        <f t="shared" si="2"/>
        <v>Bunjaku;Léon;leon.bunjaku@martinus-gymnasium.de;9d</v>
      </c>
    </row>
    <row r="166" spans="1:5" x14ac:dyDescent="0.2">
      <c r="A166" t="str">
        <f>SchülerInnen!A166</f>
        <v>Kes</v>
      </c>
      <c r="B166" t="str">
        <f>SchülerInnen!B166</f>
        <v>Hakan</v>
      </c>
      <c r="C166" t="str">
        <f>SchülerInnen!E166</f>
        <v>hakan.kes@martinus-gymnasium.de</v>
      </c>
      <c r="D166" t="str">
        <f>SchülerInnen!F166</f>
        <v>9d</v>
      </c>
      <c r="E166" t="str">
        <f t="shared" si="2"/>
        <v>Kes;Hakan;hakan.kes@martinus-gymnasium.de;9d</v>
      </c>
    </row>
    <row r="167" spans="1:5" x14ac:dyDescent="0.2">
      <c r="A167" t="str">
        <f>SchülerInnen!A167</f>
        <v>Kopaci</v>
      </c>
      <c r="B167" t="str">
        <f>SchülerInnen!B167</f>
        <v>Arsela</v>
      </c>
      <c r="C167" t="str">
        <f>SchülerInnen!E167</f>
        <v>arsela.kopaci@martinus-gymnasium.de</v>
      </c>
      <c r="D167" t="str">
        <f>SchülerInnen!F167</f>
        <v>9d</v>
      </c>
      <c r="E167" t="str">
        <f t="shared" si="2"/>
        <v>Kopaci;Arsela;arsela.kopaci@martinus-gymnasium.de;9d</v>
      </c>
    </row>
    <row r="168" spans="1:5" x14ac:dyDescent="0.2">
      <c r="A168" t="str">
        <f>SchülerInnen!A168</f>
        <v>Krueger</v>
      </c>
      <c r="B168" t="str">
        <f>SchülerInnen!B168</f>
        <v>Lara</v>
      </c>
      <c r="C168" t="str">
        <f>SchülerInnen!E168</f>
        <v>lara.krueger@martinus-gymnasium.de</v>
      </c>
      <c r="D168" t="str">
        <f>SchülerInnen!F168</f>
        <v>9d</v>
      </c>
      <c r="E168" t="str">
        <f t="shared" si="2"/>
        <v>Krueger;Lara;lara.krueger@martinus-gymnasium.de;9d</v>
      </c>
    </row>
    <row r="169" spans="1:5" x14ac:dyDescent="0.2">
      <c r="A169" t="str">
        <f>SchülerInnen!A169</f>
        <v>Lange</v>
      </c>
      <c r="B169" t="str">
        <f>SchülerInnen!B169</f>
        <v>Olivia</v>
      </c>
      <c r="C169" t="str">
        <f>SchülerInnen!E169</f>
        <v>olivia.lange@martinus-gymnasium.de</v>
      </c>
      <c r="D169" t="str">
        <f>SchülerInnen!F169</f>
        <v>9d</v>
      </c>
      <c r="E169" t="str">
        <f t="shared" si="2"/>
        <v>Lange;Olivia;olivia.lange@martinus-gymnasium.de;9d</v>
      </c>
    </row>
    <row r="170" spans="1:5" x14ac:dyDescent="0.2">
      <c r="A170" t="str">
        <f>SchülerInnen!A170</f>
        <v>Laumann</v>
      </c>
      <c r="B170" t="str">
        <f>SchülerInnen!B170</f>
        <v>Lena</v>
      </c>
      <c r="C170" t="str">
        <f>SchülerInnen!E170</f>
        <v>lena.laumann@martinus-gymnasium.de</v>
      </c>
      <c r="D170" t="str">
        <f>SchülerInnen!F170</f>
        <v>9d</v>
      </c>
      <c r="E170" t="str">
        <f t="shared" si="2"/>
        <v>Laumann;Lena;lena.laumann@martinus-gymnasium.de;9d</v>
      </c>
    </row>
    <row r="171" spans="1:5" x14ac:dyDescent="0.2">
      <c r="A171" t="str">
        <f>SchülerInnen!A171</f>
        <v>Mohammedali</v>
      </c>
      <c r="B171" t="str">
        <f>SchülerInnen!B171</f>
        <v>Yussuf</v>
      </c>
      <c r="C171" t="str">
        <f>SchülerInnen!E171</f>
        <v>yussuf.mohammedali@martinus-gymnasium.de</v>
      </c>
      <c r="D171" t="str">
        <f>SchülerInnen!F171</f>
        <v>9d</v>
      </c>
      <c r="E171" t="str">
        <f t="shared" si="2"/>
        <v>Mohammedali;Yussuf;yussuf.mohammedali@martinus-gymnasium.de;9d</v>
      </c>
    </row>
    <row r="172" spans="1:5" x14ac:dyDescent="0.2">
      <c r="A172" t="str">
        <f>SchülerInnen!A172</f>
        <v>Paschke</v>
      </c>
      <c r="B172" t="str">
        <f>SchülerInnen!B172</f>
        <v>Samia</v>
      </c>
      <c r="C172" t="str">
        <f>SchülerInnen!E172</f>
        <v>samia.paschke@martinus-gymnasium.de</v>
      </c>
      <c r="D172" t="str">
        <f>SchülerInnen!F172</f>
        <v>9d</v>
      </c>
      <c r="E172" t="str">
        <f t="shared" si="2"/>
        <v>Paschke;Samia;samia.paschke@martinus-gymnasium.de;9d</v>
      </c>
    </row>
    <row r="173" spans="1:5" x14ac:dyDescent="0.2">
      <c r="A173" t="str">
        <f>SchülerInnen!A173</f>
        <v>Samaan</v>
      </c>
      <c r="B173" t="str">
        <f>SchülerInnen!B173</f>
        <v>Mahrael</v>
      </c>
      <c r="C173" t="str">
        <f>SchülerInnen!E173</f>
        <v>mahrael.samaan@martinus-gymnasium.de</v>
      </c>
      <c r="D173" t="str">
        <f>SchülerInnen!F173</f>
        <v>9d</v>
      </c>
      <c r="E173" t="str">
        <f t="shared" si="2"/>
        <v>Samaan;Mahrael;mahrael.samaan@martinus-gymnasium.de;9d</v>
      </c>
    </row>
    <row r="174" spans="1:5" x14ac:dyDescent="0.2">
      <c r="A174" t="str">
        <f>SchülerInnen!A174</f>
        <v>Sartor</v>
      </c>
      <c r="B174" t="str">
        <f>SchülerInnen!B174</f>
        <v>Florian</v>
      </c>
      <c r="C174" t="str">
        <f>SchülerInnen!E174</f>
        <v>florian.sartor@martinus-gymnasium.de</v>
      </c>
      <c r="D174" t="str">
        <f>SchülerInnen!F174</f>
        <v>9d</v>
      </c>
      <c r="E174" t="str">
        <f t="shared" si="2"/>
        <v>Sartor;Florian;florian.sartor@martinus-gymnasium.de;9d</v>
      </c>
    </row>
    <row r="175" spans="1:5" x14ac:dyDescent="0.2">
      <c r="A175" t="str">
        <f>SchülerInnen!A175</f>
        <v>Schäfer</v>
      </c>
      <c r="B175" t="str">
        <f>SchülerInnen!B175</f>
        <v>Carlotta</v>
      </c>
      <c r="C175" t="str">
        <f>SchülerInnen!E175</f>
        <v>carlotta.schaefer@martinus-gymnasium.de</v>
      </c>
      <c r="D175" t="str">
        <f>SchülerInnen!F175</f>
        <v>9d</v>
      </c>
      <c r="E175" t="str">
        <f t="shared" si="2"/>
        <v>Schäfer;Carlotta;carlotta.schaefer@martinus-gymnasium.de;9d</v>
      </c>
    </row>
    <row r="176" spans="1:5" x14ac:dyDescent="0.2">
      <c r="A176" t="str">
        <f>SchülerInnen!A176</f>
        <v>Schneider</v>
      </c>
      <c r="B176" t="str">
        <f>SchülerInnen!B176</f>
        <v>Mara</v>
      </c>
      <c r="C176" t="str">
        <f>SchülerInnen!E176</f>
        <v>mara.schneider@martinus-gymnasium.de</v>
      </c>
      <c r="D176" t="str">
        <f>SchülerInnen!F176</f>
        <v>9d</v>
      </c>
      <c r="E176" t="str">
        <f t="shared" si="2"/>
        <v>Schneider;Mara;mara.schneider@martinus-gymnasium.de;9d</v>
      </c>
    </row>
    <row r="177" spans="1:5" x14ac:dyDescent="0.2">
      <c r="A177" t="str">
        <f>SchülerInnen!A177</f>
        <v>Schütte</v>
      </c>
      <c r="B177" t="str">
        <f>SchülerInnen!B177</f>
        <v>Felix</v>
      </c>
      <c r="C177" t="str">
        <f>SchülerInnen!E177</f>
        <v>felix.schuette@martinus-gymnasium.de</v>
      </c>
      <c r="D177" t="str">
        <f>SchülerInnen!F177</f>
        <v>9d</v>
      </c>
      <c r="E177" t="str">
        <f t="shared" si="2"/>
        <v>Schütte;Felix;felix.schuette@martinus-gymnasium.de;9d</v>
      </c>
    </row>
    <row r="178" spans="1:5" x14ac:dyDescent="0.2">
      <c r="A178" t="str">
        <f>SchülerInnen!A178</f>
        <v>Solak</v>
      </c>
      <c r="B178" t="str">
        <f>SchülerInnen!B178</f>
        <v>Kutan</v>
      </c>
      <c r="C178" t="str">
        <f>SchülerInnen!E178</f>
        <v>kutan.solak@martinus-gymnasium.de</v>
      </c>
      <c r="D178" t="str">
        <f>SchülerInnen!F178</f>
        <v>9d</v>
      </c>
      <c r="E178" t="str">
        <f t="shared" si="2"/>
        <v>Solak;Kutan;kutan.solak@martinus-gymnasium.de;9d</v>
      </c>
    </row>
    <row r="179" spans="1:5" x14ac:dyDescent="0.2">
      <c r="A179" t="str">
        <f>SchülerInnen!A179</f>
        <v>Strauß</v>
      </c>
      <c r="B179" t="str">
        <f>SchülerInnen!B179</f>
        <v>Raphaela</v>
      </c>
      <c r="C179" t="str">
        <f>SchülerInnen!E179</f>
        <v>raphaela.strauss@martinus-gymnasium.de</v>
      </c>
      <c r="D179" t="str">
        <f>SchülerInnen!F179</f>
        <v>9d</v>
      </c>
      <c r="E179" t="str">
        <f t="shared" si="2"/>
        <v>Strauß;Raphaela;raphaela.strauss@martinus-gymnasium.de;9d</v>
      </c>
    </row>
    <row r="180" spans="1:5" x14ac:dyDescent="0.2">
      <c r="A180" t="str">
        <f>SchülerInnen!A180</f>
        <v>Temna</v>
      </c>
      <c r="B180" t="str">
        <f>SchülerInnen!B180</f>
        <v>Oleksandra</v>
      </c>
      <c r="C180" t="str">
        <f>SchülerInnen!E180</f>
        <v>oleksandra.temna@martinus-gymnasium.de</v>
      </c>
      <c r="D180" t="str">
        <f>SchülerInnen!F180</f>
        <v>9d</v>
      </c>
      <c r="E180" t="str">
        <f t="shared" si="2"/>
        <v>Temna;Oleksandra;oleksandra.temna@martinus-gymnasium.de;9d</v>
      </c>
    </row>
    <row r="181" spans="1:5" x14ac:dyDescent="0.2">
      <c r="A181" t="str">
        <f>SchülerInnen!A181</f>
        <v>Tsanaktsidis</v>
      </c>
      <c r="B181" t="str">
        <f>SchülerInnen!B181</f>
        <v>Leandra</v>
      </c>
      <c r="C181" t="str">
        <f>SchülerInnen!E181</f>
        <v>leandra.tsanaktsidis@martinus-gymnasium.de</v>
      </c>
      <c r="D181" t="str">
        <f>SchülerInnen!F181</f>
        <v>9d</v>
      </c>
      <c r="E181" t="str">
        <f t="shared" si="2"/>
        <v>Tsanaktsidis;Leandra;leandra.tsanaktsidis@martinus-gymnasium.de;9d</v>
      </c>
    </row>
    <row r="182" spans="1:5" x14ac:dyDescent="0.2">
      <c r="A182" t="str">
        <f>SchülerInnen!A182</f>
        <v>Zimmermann</v>
      </c>
      <c r="B182" t="str">
        <f>SchülerInnen!B182</f>
        <v>Johann</v>
      </c>
      <c r="C182" t="str">
        <f>SchülerInnen!E182</f>
        <v>johann.zimmermann@martinus-gymnasium.de</v>
      </c>
      <c r="D182" t="str">
        <f>SchülerInnen!F182</f>
        <v>9d</v>
      </c>
      <c r="E182" t="str">
        <f t="shared" si="2"/>
        <v>Zimmermann;Johann;johann.zimmermann@martinus-gymnasium.de;9d</v>
      </c>
    </row>
    <row r="183" spans="1:5" x14ac:dyDescent="0.2">
      <c r="A183" t="str">
        <f>SchülerInnen!A183</f>
        <v>Antal</v>
      </c>
      <c r="B183" t="str">
        <f>SchülerInnen!B183</f>
        <v>Andreas</v>
      </c>
      <c r="C183" t="str">
        <f>SchülerInnen!E183</f>
        <v>andreas.antal@martinus-gymnasium.de</v>
      </c>
      <c r="D183" t="str">
        <f>SchülerInnen!F183</f>
        <v>10a</v>
      </c>
      <c r="E183" t="str">
        <f t="shared" si="2"/>
        <v>Antal;Andreas;andreas.antal@martinus-gymnasium.de;10a</v>
      </c>
    </row>
    <row r="184" spans="1:5" x14ac:dyDescent="0.2">
      <c r="A184" t="str">
        <f>SchülerInnen!A184</f>
        <v>Arend</v>
      </c>
      <c r="B184" t="str">
        <f>SchülerInnen!B184</f>
        <v>Merlin</v>
      </c>
      <c r="C184" t="str">
        <f>SchülerInnen!E184</f>
        <v>merlin.arend@martinus-gymnasium.de</v>
      </c>
      <c r="D184" t="str">
        <f>SchülerInnen!F184</f>
        <v>10a</v>
      </c>
      <c r="E184" t="str">
        <f t="shared" si="2"/>
        <v>Arend;Merlin;merlin.arend@martinus-gymnasium.de;10a</v>
      </c>
    </row>
    <row r="185" spans="1:5" x14ac:dyDescent="0.2">
      <c r="A185" t="str">
        <f>SchülerInnen!A185</f>
        <v>Ceylan</v>
      </c>
      <c r="B185" t="str">
        <f>SchülerInnen!B185</f>
        <v>Esmeray</v>
      </c>
      <c r="C185" t="str">
        <f>SchülerInnen!E185</f>
        <v>esmeray.ceylan@martinus-gymnasium.de</v>
      </c>
      <c r="D185" t="str">
        <f>SchülerInnen!F185</f>
        <v>10a</v>
      </c>
      <c r="E185" t="str">
        <f t="shared" si="2"/>
        <v>Ceylan;Esmeray;esmeray.ceylan@martinus-gymnasium.de;10a</v>
      </c>
    </row>
    <row r="186" spans="1:5" x14ac:dyDescent="0.2">
      <c r="A186" t="str">
        <f>SchülerInnen!A186</f>
        <v>Duijvekam</v>
      </c>
      <c r="B186" t="str">
        <f>SchülerInnen!B186</f>
        <v>Ronja</v>
      </c>
      <c r="C186" t="str">
        <f>SchülerInnen!E186</f>
        <v>ronja.duijvekam@martinus-gymnasium.de</v>
      </c>
      <c r="D186" t="str">
        <f>SchülerInnen!F186</f>
        <v>10a</v>
      </c>
      <c r="E186" t="str">
        <f t="shared" si="2"/>
        <v>Duijvekam;Ronja;ronja.duijvekam@martinus-gymnasium.de;10a</v>
      </c>
    </row>
    <row r="187" spans="1:5" x14ac:dyDescent="0.2">
      <c r="A187" t="str">
        <f>SchülerInnen!A187</f>
        <v>Enns</v>
      </c>
      <c r="B187" t="str">
        <f>SchülerInnen!B187</f>
        <v>Elin</v>
      </c>
      <c r="C187" t="str">
        <f>SchülerInnen!E187</f>
        <v>elin.enns@martinus-gymnasium.de</v>
      </c>
      <c r="D187" t="str">
        <f>SchülerInnen!F187</f>
        <v>10a</v>
      </c>
      <c r="E187" t="str">
        <f t="shared" si="2"/>
        <v>Enns;Elin;elin.enns@martinus-gymnasium.de;10a</v>
      </c>
    </row>
    <row r="188" spans="1:5" x14ac:dyDescent="0.2">
      <c r="A188" t="str">
        <f>SchülerInnen!A188</f>
        <v>Ergin</v>
      </c>
      <c r="B188" t="str">
        <f>SchülerInnen!B188</f>
        <v>Lorin Su</v>
      </c>
      <c r="C188" t="str">
        <f>SchülerInnen!E188</f>
        <v>lorin.su.ergin@martinus-gymnasium.de</v>
      </c>
      <c r="D188" t="str">
        <f>SchülerInnen!F188</f>
        <v>10a</v>
      </c>
      <c r="E188" t="str">
        <f t="shared" si="2"/>
        <v>Ergin;Lorin Su;lorin.su.ergin@martinus-gymnasium.de;10a</v>
      </c>
    </row>
    <row r="189" spans="1:5" x14ac:dyDescent="0.2">
      <c r="A189" t="str">
        <f>SchülerInnen!A189</f>
        <v>Hirzmann</v>
      </c>
      <c r="B189" t="str">
        <f>SchülerInnen!B189</f>
        <v>Emma</v>
      </c>
      <c r="C189" t="str">
        <f>SchülerInnen!E189</f>
        <v>emma.hirzmann@martinus-gymnasium.de</v>
      </c>
      <c r="D189" t="str">
        <f>SchülerInnen!F189</f>
        <v>10a</v>
      </c>
      <c r="E189" t="str">
        <f t="shared" si="2"/>
        <v>Hirzmann;Emma;emma.hirzmann@martinus-gymnasium.de;10a</v>
      </c>
    </row>
    <row r="190" spans="1:5" x14ac:dyDescent="0.2">
      <c r="A190" t="str">
        <f>SchülerInnen!A190</f>
        <v>Hoß</v>
      </c>
      <c r="B190" t="str">
        <f>SchülerInnen!B190</f>
        <v>Niklas</v>
      </c>
      <c r="C190" t="str">
        <f>SchülerInnen!E190</f>
        <v>niklas.hoss@martinus-gymnasium.de</v>
      </c>
      <c r="D190" t="str">
        <f>SchülerInnen!F190</f>
        <v>10a</v>
      </c>
      <c r="E190" t="str">
        <f t="shared" si="2"/>
        <v>Hoß;Niklas;niklas.hoss@martinus-gymnasium.de;10a</v>
      </c>
    </row>
    <row r="191" spans="1:5" x14ac:dyDescent="0.2">
      <c r="A191" t="str">
        <f>SchülerInnen!A191</f>
        <v>Kaminski</v>
      </c>
      <c r="B191" t="str">
        <f>SchülerInnen!B191</f>
        <v>Lisa</v>
      </c>
      <c r="C191" t="str">
        <f>SchülerInnen!E191</f>
        <v>lisa.kaminski@martinus-gymnasium.de</v>
      </c>
      <c r="D191" t="str">
        <f>SchülerInnen!F191</f>
        <v>10a</v>
      </c>
      <c r="E191" t="str">
        <f t="shared" si="2"/>
        <v>Kaminski;Lisa;lisa.kaminski@martinus-gymnasium.de;10a</v>
      </c>
    </row>
    <row r="192" spans="1:5" x14ac:dyDescent="0.2">
      <c r="A192" t="str">
        <f>SchülerInnen!A192</f>
        <v>Kamp</v>
      </c>
      <c r="B192" t="str">
        <f>SchülerInnen!B192</f>
        <v>Luca</v>
      </c>
      <c r="C192" t="str">
        <f>SchülerInnen!E192</f>
        <v>luca.kamp@martinus-gymnasium.de</v>
      </c>
      <c r="D192" t="str">
        <f>SchülerInnen!F192</f>
        <v>10a</v>
      </c>
      <c r="E192" t="str">
        <f t="shared" si="2"/>
        <v>Kamp;Luca;luca.kamp@martinus-gymnasium.de;10a</v>
      </c>
    </row>
    <row r="193" spans="1:5" x14ac:dyDescent="0.2">
      <c r="A193" t="str">
        <f>SchülerInnen!A193</f>
        <v>Klingenberger</v>
      </c>
      <c r="B193" t="str">
        <f>SchülerInnen!B193</f>
        <v>Alexander</v>
      </c>
      <c r="C193" t="str">
        <f>SchülerInnen!E193</f>
        <v>alexander.klingenberger@martinus-gymnasium.de</v>
      </c>
      <c r="D193" t="str">
        <f>SchülerInnen!F193</f>
        <v>10a</v>
      </c>
      <c r="E193" t="str">
        <f t="shared" si="2"/>
        <v>Klingenberger;Alexander;alexander.klingenberger@martinus-gymnasium.de;10a</v>
      </c>
    </row>
    <row r="194" spans="1:5" x14ac:dyDescent="0.2">
      <c r="A194" t="str">
        <f>SchülerInnen!A194</f>
        <v>Koll</v>
      </c>
      <c r="B194" t="str">
        <f>SchülerInnen!B194</f>
        <v>Luca</v>
      </c>
      <c r="C194" t="str">
        <f>SchülerInnen!E194</f>
        <v>luca.koll@martinus-gymnasium.de</v>
      </c>
      <c r="D194" t="str">
        <f>SchülerInnen!F194</f>
        <v>10a</v>
      </c>
      <c r="E194" t="str">
        <f t="shared" si="2"/>
        <v>Koll;Luca;luca.koll@martinus-gymnasium.de;10a</v>
      </c>
    </row>
    <row r="195" spans="1:5" x14ac:dyDescent="0.2">
      <c r="A195" t="str">
        <f>SchülerInnen!A195</f>
        <v>Kreutzmann</v>
      </c>
      <c r="B195" t="str">
        <f>SchülerInnen!B195</f>
        <v>Lenja</v>
      </c>
      <c r="C195" t="str">
        <f>SchülerInnen!E195</f>
        <v>lenja.kreutzmann@martinus-gymnasium.de</v>
      </c>
      <c r="D195" t="str">
        <f>SchülerInnen!F195</f>
        <v>10a</v>
      </c>
      <c r="E195" t="str">
        <f t="shared" ref="E195:E258" si="3">_xlfn.TEXTJOIN(";",FALSE,A195:D195)</f>
        <v>Kreutzmann;Lenja;lenja.kreutzmann@martinus-gymnasium.de;10a</v>
      </c>
    </row>
    <row r="196" spans="1:5" x14ac:dyDescent="0.2">
      <c r="A196" t="str">
        <f>SchülerInnen!A196</f>
        <v>Kuntze</v>
      </c>
      <c r="B196" t="str">
        <f>SchülerInnen!B196</f>
        <v>Moritz</v>
      </c>
      <c r="C196" t="str">
        <f>SchülerInnen!E196</f>
        <v>moritz.kuntze@martinus-gymnasium.de</v>
      </c>
      <c r="D196" t="str">
        <f>SchülerInnen!F196</f>
        <v>10a</v>
      </c>
      <c r="E196" t="str">
        <f t="shared" si="3"/>
        <v>Kuntze;Moritz;moritz.kuntze@martinus-gymnasium.de;10a</v>
      </c>
    </row>
    <row r="197" spans="1:5" x14ac:dyDescent="0.2">
      <c r="A197" t="str">
        <f>SchülerInnen!A197</f>
        <v>Labonde</v>
      </c>
      <c r="B197" t="str">
        <f>SchülerInnen!B197</f>
        <v>Lana</v>
      </c>
      <c r="C197" t="str">
        <f>SchülerInnen!E197</f>
        <v>lana.labonde@martinus-gymnasium.de</v>
      </c>
      <c r="D197" t="str">
        <f>SchülerInnen!F197</f>
        <v>10a</v>
      </c>
      <c r="E197" t="str">
        <f t="shared" si="3"/>
        <v>Labonde;Lana;lana.labonde@martinus-gymnasium.de;10a</v>
      </c>
    </row>
    <row r="198" spans="1:5" x14ac:dyDescent="0.2">
      <c r="A198" t="str">
        <f>SchülerInnen!A198</f>
        <v>Le</v>
      </c>
      <c r="B198" t="str">
        <f>SchülerInnen!B198</f>
        <v>Anna</v>
      </c>
      <c r="C198" t="str">
        <f>SchülerInnen!E198</f>
        <v>anna.le@martinus-gymnasium.de</v>
      </c>
      <c r="D198" t="str">
        <f>SchülerInnen!F198</f>
        <v>10a</v>
      </c>
      <c r="E198" t="str">
        <f t="shared" si="3"/>
        <v>Le;Anna;anna.le@martinus-gymnasium.de;10a</v>
      </c>
    </row>
    <row r="199" spans="1:5" x14ac:dyDescent="0.2">
      <c r="A199" t="str">
        <f>SchülerInnen!A199</f>
        <v>Pochynok</v>
      </c>
      <c r="B199" t="str">
        <f>SchülerInnen!B199</f>
        <v>Vladyslav</v>
      </c>
      <c r="C199" t="str">
        <f>SchülerInnen!E199</f>
        <v>vladyslav.pochynok@martinus-gymnasium.de</v>
      </c>
      <c r="D199" t="str">
        <f>SchülerInnen!F199</f>
        <v>10a</v>
      </c>
      <c r="E199" t="str">
        <f t="shared" si="3"/>
        <v>Pochynok;Vladyslav;vladyslav.pochynok@martinus-gymnasium.de;10a</v>
      </c>
    </row>
    <row r="200" spans="1:5" x14ac:dyDescent="0.2">
      <c r="A200" t="str">
        <f>SchülerInnen!A200</f>
        <v>Schinabeck</v>
      </c>
      <c r="B200" t="str">
        <f>SchülerInnen!B200</f>
        <v>Leah</v>
      </c>
      <c r="C200" t="str">
        <f>SchülerInnen!E200</f>
        <v>leah.schinabeck@martinus-gymnasium.de</v>
      </c>
      <c r="D200" t="str">
        <f>SchülerInnen!F200</f>
        <v>10a</v>
      </c>
      <c r="E200" t="str">
        <f t="shared" si="3"/>
        <v>Schinabeck;Leah;leah.schinabeck@martinus-gymnasium.de;10a</v>
      </c>
    </row>
    <row r="201" spans="1:5" x14ac:dyDescent="0.2">
      <c r="A201" t="str">
        <f>SchülerInnen!A201</f>
        <v>Spitzer</v>
      </c>
      <c r="B201" t="str">
        <f>SchülerInnen!B201</f>
        <v>Magdalena Karin Marie</v>
      </c>
      <c r="C201" t="str">
        <f>SchülerInnen!E201</f>
        <v>magdalena.karin.marie.spitzer@martinus-gymnasium.de</v>
      </c>
      <c r="D201" t="str">
        <f>SchülerInnen!F201</f>
        <v>10a</v>
      </c>
      <c r="E201" t="str">
        <f t="shared" si="3"/>
        <v>Spitzer;Magdalena Karin Marie;magdalena.karin.marie.spitzer@martinus-gymnasium.de;10a</v>
      </c>
    </row>
    <row r="202" spans="1:5" x14ac:dyDescent="0.2">
      <c r="A202" t="str">
        <f>SchülerInnen!A202</f>
        <v>Sydorzhewski</v>
      </c>
      <c r="B202" t="str">
        <f>SchülerInnen!B202</f>
        <v>Uliana</v>
      </c>
      <c r="C202" t="str">
        <f>SchülerInnen!E202</f>
        <v>uliana.sydorzhewski@martinus-gymnasium.de</v>
      </c>
      <c r="D202" t="str">
        <f>SchülerInnen!F202</f>
        <v>10a</v>
      </c>
      <c r="E202" t="str">
        <f t="shared" si="3"/>
        <v>Sydorzhewski;Uliana;uliana.sydorzhewski@martinus-gymnasium.de;10a</v>
      </c>
    </row>
    <row r="203" spans="1:5" x14ac:dyDescent="0.2">
      <c r="A203" t="str">
        <f>SchülerInnen!A203</f>
        <v>von Almen</v>
      </c>
      <c r="B203" t="str">
        <f>SchülerInnen!B203</f>
        <v>Coco</v>
      </c>
      <c r="C203" t="str">
        <f>SchülerInnen!E203</f>
        <v>coco.von.almen@martinus-gymnasium.de</v>
      </c>
      <c r="D203" t="str">
        <f>SchülerInnen!F203</f>
        <v>10a</v>
      </c>
      <c r="E203" t="str">
        <f t="shared" si="3"/>
        <v>von Almen;Coco;coco.von.almen@martinus-gymnasium.de;10a</v>
      </c>
    </row>
    <row r="204" spans="1:5" x14ac:dyDescent="0.2">
      <c r="A204" t="str">
        <f>SchülerInnen!A204</f>
        <v>Becker</v>
      </c>
      <c r="B204" t="str">
        <f>SchülerInnen!B204</f>
        <v>Friedrich</v>
      </c>
      <c r="C204" t="str">
        <f>SchülerInnen!E204</f>
        <v>friedrich.becker@martinus-gymnasium.de</v>
      </c>
      <c r="D204" t="str">
        <f>SchülerInnen!F204</f>
        <v>10b</v>
      </c>
      <c r="E204" t="str">
        <f t="shared" si="3"/>
        <v>Becker;Friedrich;friedrich.becker@martinus-gymnasium.de;10b</v>
      </c>
    </row>
    <row r="205" spans="1:5" x14ac:dyDescent="0.2">
      <c r="A205" t="str">
        <f>SchülerInnen!A205</f>
        <v>Blaschczok</v>
      </c>
      <c r="B205" t="str">
        <f>SchülerInnen!B205</f>
        <v>Samuel</v>
      </c>
      <c r="C205" t="str">
        <f>SchülerInnen!E205</f>
        <v>samuel.blaschczok@martinus-gymnasium.de</v>
      </c>
      <c r="D205" t="str">
        <f>SchülerInnen!F205</f>
        <v>10b</v>
      </c>
      <c r="E205" t="str">
        <f t="shared" si="3"/>
        <v>Blaschczok;Samuel;samuel.blaschczok@martinus-gymnasium.de;10b</v>
      </c>
    </row>
    <row r="206" spans="1:5" x14ac:dyDescent="0.2">
      <c r="A206" t="str">
        <f>SchülerInnen!A206</f>
        <v>Böker</v>
      </c>
      <c r="B206" t="str">
        <f>SchülerInnen!B206</f>
        <v>Lara</v>
      </c>
      <c r="C206" t="str">
        <f>SchülerInnen!E206</f>
        <v>lara.boeker@martinus-gymnasium.de</v>
      </c>
      <c r="D206" t="str">
        <f>SchülerInnen!F206</f>
        <v>10b</v>
      </c>
      <c r="E206" t="str">
        <f t="shared" si="3"/>
        <v>Böker;Lara;lara.boeker@martinus-gymnasium.de;10b</v>
      </c>
    </row>
    <row r="207" spans="1:5" x14ac:dyDescent="0.2">
      <c r="A207" t="str">
        <f>SchülerInnen!A207</f>
        <v>Dogan</v>
      </c>
      <c r="B207" t="str">
        <f>SchülerInnen!B207</f>
        <v>Rozerin</v>
      </c>
      <c r="C207" t="str">
        <f>SchülerInnen!E207</f>
        <v>rozerin.dogan@martinus-gymnasium.de</v>
      </c>
      <c r="D207" t="str">
        <f>SchülerInnen!F207</f>
        <v>10b</v>
      </c>
      <c r="E207" t="str">
        <f t="shared" si="3"/>
        <v>Dogan;Rozerin;rozerin.dogan@martinus-gymnasium.de;10b</v>
      </c>
    </row>
    <row r="208" spans="1:5" x14ac:dyDescent="0.2">
      <c r="A208" t="str">
        <f>SchülerInnen!A208</f>
        <v>Emmerich</v>
      </c>
      <c r="B208" t="str">
        <f>SchülerInnen!B208</f>
        <v>Suri</v>
      </c>
      <c r="C208" t="str">
        <f>SchülerInnen!E208</f>
        <v>suri.emmerich@martinus-gymnasium.de</v>
      </c>
      <c r="D208" t="str">
        <f>SchülerInnen!F208</f>
        <v>10b</v>
      </c>
      <c r="E208" t="str">
        <f t="shared" si="3"/>
        <v>Emmerich;Suri;suri.emmerich@martinus-gymnasium.de;10b</v>
      </c>
    </row>
    <row r="209" spans="1:5" x14ac:dyDescent="0.2">
      <c r="A209" t="str">
        <f>SchülerInnen!A209</f>
        <v>Fischer</v>
      </c>
      <c r="B209" t="str">
        <f>SchülerInnen!B209</f>
        <v>Jack</v>
      </c>
      <c r="C209" t="str">
        <f>SchülerInnen!E209</f>
        <v>jack.fischer@martinus-gymnasium.de</v>
      </c>
      <c r="D209" t="str">
        <f>SchülerInnen!F209</f>
        <v>10b</v>
      </c>
      <c r="E209" t="str">
        <f t="shared" si="3"/>
        <v>Fischer;Jack;jack.fischer@martinus-gymnasium.de;10b</v>
      </c>
    </row>
    <row r="210" spans="1:5" x14ac:dyDescent="0.2">
      <c r="A210" t="str">
        <f>SchülerInnen!A210</f>
        <v>Kirsch</v>
      </c>
      <c r="B210" t="str">
        <f>SchülerInnen!B210</f>
        <v>Ben</v>
      </c>
      <c r="C210" t="str">
        <f>SchülerInnen!E210</f>
        <v>ben.kirsch@martinus-gymnasium.de</v>
      </c>
      <c r="D210" t="str">
        <f>SchülerInnen!F210</f>
        <v>10b</v>
      </c>
      <c r="E210" t="str">
        <f t="shared" si="3"/>
        <v>Kirsch;Ben;ben.kirsch@martinus-gymnasium.de;10b</v>
      </c>
    </row>
    <row r="211" spans="1:5" x14ac:dyDescent="0.2">
      <c r="A211" t="str">
        <f>SchülerInnen!A211</f>
        <v>Klein</v>
      </c>
      <c r="B211" t="str">
        <f>SchülerInnen!B211</f>
        <v>Silvia</v>
      </c>
      <c r="C211" t="str">
        <f>SchülerInnen!E211</f>
        <v>silvia.klein@martinus-gymnasium.de</v>
      </c>
      <c r="D211" t="str">
        <f>SchülerInnen!F211</f>
        <v>10b</v>
      </c>
      <c r="E211" t="str">
        <f t="shared" si="3"/>
        <v>Klein;Silvia;silvia.klein@martinus-gymnasium.de;10b</v>
      </c>
    </row>
    <row r="212" spans="1:5" x14ac:dyDescent="0.2">
      <c r="A212" t="str">
        <f>SchülerInnen!A212</f>
        <v>Laut</v>
      </c>
      <c r="B212" t="str">
        <f>SchülerInnen!B212</f>
        <v>Lea</v>
      </c>
      <c r="C212" t="str">
        <f>SchülerInnen!E212</f>
        <v>lea.laut@martinus-gymnasium.de</v>
      </c>
      <c r="D212" t="str">
        <f>SchülerInnen!F212</f>
        <v>10b</v>
      </c>
      <c r="E212" t="str">
        <f t="shared" si="3"/>
        <v>Laut;Lea;lea.laut@martinus-gymnasium.de;10b</v>
      </c>
    </row>
    <row r="213" spans="1:5" x14ac:dyDescent="0.2">
      <c r="A213" t="str">
        <f>SchülerInnen!A213</f>
        <v>Lindlohr</v>
      </c>
      <c r="B213" t="str">
        <f>SchülerInnen!B213</f>
        <v>Maya</v>
      </c>
      <c r="C213" t="str">
        <f>SchülerInnen!E213</f>
        <v>maya.lindlohr@martinus-gymnasium.de</v>
      </c>
      <c r="D213" t="str">
        <f>SchülerInnen!F213</f>
        <v>10b</v>
      </c>
      <c r="E213" t="str">
        <f t="shared" si="3"/>
        <v>Lindlohr;Maya;maya.lindlohr@martinus-gymnasium.de;10b</v>
      </c>
    </row>
    <row r="214" spans="1:5" x14ac:dyDescent="0.2">
      <c r="A214" t="str">
        <f>SchülerInnen!A214</f>
        <v>Nietzard</v>
      </c>
      <c r="B214" t="str">
        <f>SchülerInnen!B214</f>
        <v>Lennox</v>
      </c>
      <c r="C214" t="str">
        <f>SchülerInnen!E214</f>
        <v>lennox.nietzard@martinus-gymnasium.de</v>
      </c>
      <c r="D214" t="str">
        <f>SchülerInnen!F214</f>
        <v>10b</v>
      </c>
      <c r="E214" t="str">
        <f t="shared" si="3"/>
        <v>Nietzard;Lennox;lennox.nietzard@martinus-gymnasium.de;10b</v>
      </c>
    </row>
    <row r="215" spans="1:5" x14ac:dyDescent="0.2">
      <c r="A215" t="str">
        <f>SchülerInnen!A215</f>
        <v>Prasser</v>
      </c>
      <c r="B215" t="str">
        <f>SchülerInnen!B215</f>
        <v>Pit</v>
      </c>
      <c r="C215" t="str">
        <f>SchülerInnen!E215</f>
        <v>pit.prasser@martinus-gymnasium.de</v>
      </c>
      <c r="D215" t="str">
        <f>SchülerInnen!F215</f>
        <v>10b</v>
      </c>
      <c r="E215" t="str">
        <f t="shared" si="3"/>
        <v>Prasser;Pit;pit.prasser@martinus-gymnasium.de;10b</v>
      </c>
    </row>
    <row r="216" spans="1:5" x14ac:dyDescent="0.2">
      <c r="A216" t="str">
        <f>SchülerInnen!A216</f>
        <v>Ruch</v>
      </c>
      <c r="B216" t="str">
        <f>SchülerInnen!B216</f>
        <v>Scarlett</v>
      </c>
      <c r="C216" t="str">
        <f>SchülerInnen!E216</f>
        <v>scarlett.ruch@martinus-gymnasium.de</v>
      </c>
      <c r="D216" t="str">
        <f>SchülerInnen!F216</f>
        <v>10b</v>
      </c>
      <c r="E216" t="str">
        <f t="shared" si="3"/>
        <v>Ruch;Scarlett;scarlett.ruch@martinus-gymnasium.de;10b</v>
      </c>
    </row>
    <row r="217" spans="1:5" x14ac:dyDescent="0.2">
      <c r="A217" t="str">
        <f>SchülerInnen!A217</f>
        <v>Schwarz</v>
      </c>
      <c r="B217" t="str">
        <f>SchülerInnen!B217</f>
        <v>Paulina</v>
      </c>
      <c r="C217" t="str">
        <f>SchülerInnen!E217</f>
        <v>paulina.schwarz@martinus-gymnasium.de</v>
      </c>
      <c r="D217" t="str">
        <f>SchülerInnen!F217</f>
        <v>10b</v>
      </c>
      <c r="E217" t="str">
        <f t="shared" si="3"/>
        <v>Schwarz;Paulina;paulina.schwarz@martinus-gymnasium.de;10b</v>
      </c>
    </row>
    <row r="218" spans="1:5" x14ac:dyDescent="0.2">
      <c r="A218" t="str">
        <f>SchülerInnen!A218</f>
        <v>Simonis</v>
      </c>
      <c r="B218" t="str">
        <f>SchülerInnen!B218</f>
        <v>Naira</v>
      </c>
      <c r="C218" t="str">
        <f>SchülerInnen!E218</f>
        <v>naira.simonis@martinus-gymnasium.de</v>
      </c>
      <c r="D218" t="str">
        <f>SchülerInnen!F218</f>
        <v>10b</v>
      </c>
      <c r="E218" t="str">
        <f t="shared" si="3"/>
        <v>Simonis;Naira;naira.simonis@martinus-gymnasium.de;10b</v>
      </c>
    </row>
    <row r="219" spans="1:5" x14ac:dyDescent="0.2">
      <c r="A219" t="str">
        <f>SchülerInnen!A219</f>
        <v>Sopart</v>
      </c>
      <c r="B219" t="str">
        <f>SchülerInnen!B219</f>
        <v>Johanna</v>
      </c>
      <c r="C219" t="str">
        <f>SchülerInnen!E219</f>
        <v>johanna.sopart@martinus-gymnasium.de</v>
      </c>
      <c r="D219" t="str">
        <f>SchülerInnen!F219</f>
        <v>10b</v>
      </c>
      <c r="E219" t="str">
        <f t="shared" si="3"/>
        <v>Sopart;Johanna;johanna.sopart@martinus-gymnasium.de;10b</v>
      </c>
    </row>
    <row r="220" spans="1:5" x14ac:dyDescent="0.2">
      <c r="A220" t="str">
        <f>SchülerInnen!A220</f>
        <v>Szumilas</v>
      </c>
      <c r="B220" t="str">
        <f>SchülerInnen!B220</f>
        <v>Wiktoria-Vanessa</v>
      </c>
      <c r="C220" t="str">
        <f>SchülerInnen!E220</f>
        <v>wiktoria.vanessa.szumilas@martinus-gymnasium.de</v>
      </c>
      <c r="D220" t="str">
        <f>SchülerInnen!F220</f>
        <v>10b</v>
      </c>
      <c r="E220" t="str">
        <f t="shared" si="3"/>
        <v>Szumilas;Wiktoria-Vanessa;wiktoria.vanessa.szumilas@martinus-gymnasium.de;10b</v>
      </c>
    </row>
    <row r="221" spans="1:5" x14ac:dyDescent="0.2">
      <c r="A221" t="str">
        <f>SchülerInnen!A221</f>
        <v>Vázquez y Vázquez</v>
      </c>
      <c r="B221" t="str">
        <f>SchülerInnen!B221</f>
        <v>Joya</v>
      </c>
      <c r="C221" t="str">
        <f>SchülerInnen!E221</f>
        <v>joya.vazquez.y.vazquez@martinus-gymnasium.de</v>
      </c>
      <c r="D221" t="str">
        <f>SchülerInnen!F221</f>
        <v>10b</v>
      </c>
      <c r="E221" t="str">
        <f t="shared" si="3"/>
        <v>Vázquez y Vázquez;Joya;joya.vazquez.y.vazquez@martinus-gymnasium.de;10b</v>
      </c>
    </row>
    <row r="222" spans="1:5" x14ac:dyDescent="0.2">
      <c r="A222" t="str">
        <f>SchülerInnen!A222</f>
        <v>Warmth</v>
      </c>
      <c r="B222" t="str">
        <f>SchülerInnen!B222</f>
        <v>Maximilian</v>
      </c>
      <c r="C222" t="str">
        <f>SchülerInnen!E222</f>
        <v>maximilian.warmth@martinus-gymnasium.de</v>
      </c>
      <c r="D222" t="str">
        <f>SchülerInnen!F222</f>
        <v>10b</v>
      </c>
      <c r="E222" t="str">
        <f t="shared" si="3"/>
        <v>Warmth;Maximilian;maximilian.warmth@martinus-gymnasium.de;10b</v>
      </c>
    </row>
    <row r="223" spans="1:5" x14ac:dyDescent="0.2">
      <c r="A223" t="str">
        <f>SchülerInnen!A223</f>
        <v>Weber</v>
      </c>
      <c r="B223" t="str">
        <f>SchülerInnen!B223</f>
        <v>Hannah</v>
      </c>
      <c r="C223" t="str">
        <f>SchülerInnen!E223</f>
        <v>hannah.weber@martinus-gymnasium.de</v>
      </c>
      <c r="D223" t="str">
        <f>SchülerInnen!F223</f>
        <v>10b</v>
      </c>
      <c r="E223" t="str">
        <f t="shared" si="3"/>
        <v>Weber;Hannah;hannah.weber@martinus-gymnasium.de;10b</v>
      </c>
    </row>
    <row r="224" spans="1:5" x14ac:dyDescent="0.2">
      <c r="A224" t="str">
        <f>SchülerInnen!A224</f>
        <v>Wiemer</v>
      </c>
      <c r="B224" t="str">
        <f>SchülerInnen!B224</f>
        <v>Pascal</v>
      </c>
      <c r="C224" t="str">
        <f>SchülerInnen!E224</f>
        <v>pascal.wiemer@martinus-gymnasium.de</v>
      </c>
      <c r="D224" t="str">
        <f>SchülerInnen!F224</f>
        <v>10b</v>
      </c>
      <c r="E224" t="str">
        <f t="shared" si="3"/>
        <v>Wiemer;Pascal;pascal.wiemer@martinus-gymnasium.de;10b</v>
      </c>
    </row>
    <row r="225" spans="1:5" x14ac:dyDescent="0.2">
      <c r="A225" t="str">
        <f>SchülerInnen!A225</f>
        <v>Alaktaa</v>
      </c>
      <c r="B225" t="str">
        <f>SchülerInnen!B225</f>
        <v>Hala</v>
      </c>
      <c r="C225" t="str">
        <f>SchülerInnen!E225</f>
        <v>hala.alaktaa@martinus-gymnasium.de</v>
      </c>
      <c r="D225" t="str">
        <f>SchülerInnen!F225</f>
        <v>10c</v>
      </c>
      <c r="E225" t="str">
        <f t="shared" si="3"/>
        <v>Alaktaa;Hala;hala.alaktaa@martinus-gymnasium.de;10c</v>
      </c>
    </row>
    <row r="226" spans="1:5" x14ac:dyDescent="0.2">
      <c r="A226" t="str">
        <f>SchülerInnen!A226</f>
        <v>Avdyli</v>
      </c>
      <c r="B226" t="str">
        <f>SchülerInnen!B226</f>
        <v>Vesa</v>
      </c>
      <c r="C226" t="str">
        <f>SchülerInnen!E226</f>
        <v>vesa.avdyli@martinus-gymnasium.de</v>
      </c>
      <c r="D226" t="str">
        <f>SchülerInnen!F226</f>
        <v>10c</v>
      </c>
      <c r="E226" t="str">
        <f t="shared" si="3"/>
        <v>Avdyli;Vesa;vesa.avdyli@martinus-gymnasium.de;10c</v>
      </c>
    </row>
    <row r="227" spans="1:5" x14ac:dyDescent="0.2">
      <c r="A227" t="str">
        <f>SchülerInnen!A227</f>
        <v>Balaba</v>
      </c>
      <c r="B227" t="str">
        <f>SchülerInnen!B227</f>
        <v>Daria</v>
      </c>
      <c r="C227" t="str">
        <f>SchülerInnen!E227</f>
        <v>daria.balaba@martinus-gymnasium.de</v>
      </c>
      <c r="D227" t="str">
        <f>SchülerInnen!F227</f>
        <v>10c</v>
      </c>
      <c r="E227" t="str">
        <f t="shared" si="3"/>
        <v>Balaba;Daria;daria.balaba@martinus-gymnasium.de;10c</v>
      </c>
    </row>
    <row r="228" spans="1:5" x14ac:dyDescent="0.2">
      <c r="A228" t="str">
        <f>SchülerInnen!A228</f>
        <v>Born</v>
      </c>
      <c r="B228" t="str">
        <f>SchülerInnen!B228</f>
        <v>Emma</v>
      </c>
      <c r="C228" t="str">
        <f>SchülerInnen!E228</f>
        <v>emma.born@martinus-gymnasium.de</v>
      </c>
      <c r="D228" t="str">
        <f>SchülerInnen!F228</f>
        <v>10c</v>
      </c>
      <c r="E228" t="str">
        <f t="shared" si="3"/>
        <v>Born;Emma;emma.born@martinus-gymnasium.de;10c</v>
      </c>
    </row>
    <row r="229" spans="1:5" x14ac:dyDescent="0.2">
      <c r="A229" t="str">
        <f>SchülerInnen!A229</f>
        <v>Böyer</v>
      </c>
      <c r="B229" t="str">
        <f>SchülerInnen!B229</f>
        <v>Valentin</v>
      </c>
      <c r="C229" t="str">
        <f>SchülerInnen!E229</f>
        <v>valentin.boeyer@martinus-gymnasium.de</v>
      </c>
      <c r="D229" t="str">
        <f>SchülerInnen!F229</f>
        <v>10c</v>
      </c>
      <c r="E229" t="str">
        <f t="shared" si="3"/>
        <v>Böyer;Valentin;valentin.boeyer@martinus-gymnasium.de;10c</v>
      </c>
    </row>
    <row r="230" spans="1:5" x14ac:dyDescent="0.2">
      <c r="A230" t="str">
        <f>SchülerInnen!A230</f>
        <v>Ditter</v>
      </c>
      <c r="B230" t="str">
        <f>SchülerInnen!B230</f>
        <v>Emma Carolina</v>
      </c>
      <c r="C230" t="str">
        <f>SchülerInnen!E230</f>
        <v>emma.carolina.ditter@martinus-gymnasium.de</v>
      </c>
      <c r="D230" t="str">
        <f>SchülerInnen!F230</f>
        <v>10c</v>
      </c>
      <c r="E230" t="str">
        <f t="shared" si="3"/>
        <v>Ditter;Emma Carolina;emma.carolina.ditter@martinus-gymnasium.de;10c</v>
      </c>
    </row>
    <row r="231" spans="1:5" x14ac:dyDescent="0.2">
      <c r="A231" t="str">
        <f>SchülerInnen!A231</f>
        <v>Effert</v>
      </c>
      <c r="B231" t="str">
        <f>SchülerInnen!B231</f>
        <v>Joshua</v>
      </c>
      <c r="C231" t="str">
        <f>SchülerInnen!E231</f>
        <v>joshua.effert@martinus-gymnasium.de</v>
      </c>
      <c r="D231" t="str">
        <f>SchülerInnen!F231</f>
        <v>10c</v>
      </c>
      <c r="E231" t="str">
        <f t="shared" si="3"/>
        <v>Effert;Joshua;joshua.effert@martinus-gymnasium.de;10c</v>
      </c>
    </row>
    <row r="232" spans="1:5" x14ac:dyDescent="0.2">
      <c r="A232" t="str">
        <f>SchülerInnen!A232</f>
        <v>Ince</v>
      </c>
      <c r="B232" t="str">
        <f>SchülerInnen!B232</f>
        <v>Fabian</v>
      </c>
      <c r="C232" t="str">
        <f>SchülerInnen!E232</f>
        <v>fabian.ince@martinus-gymnasium.de</v>
      </c>
      <c r="D232" t="str">
        <f>SchülerInnen!F232</f>
        <v>10c</v>
      </c>
      <c r="E232" t="str">
        <f t="shared" si="3"/>
        <v>Ince;Fabian;fabian.ince@martinus-gymnasium.de;10c</v>
      </c>
    </row>
    <row r="233" spans="1:5" x14ac:dyDescent="0.2">
      <c r="A233" t="str">
        <f>SchülerInnen!A233</f>
        <v>Kuznetsova</v>
      </c>
      <c r="B233" t="str">
        <f>SchülerInnen!B233</f>
        <v>Sofiia</v>
      </c>
      <c r="C233" t="str">
        <f>SchülerInnen!E233</f>
        <v>sofiia.kuznetsova@martinus-gymnasium.de</v>
      </c>
      <c r="D233" t="str">
        <f>SchülerInnen!F233</f>
        <v>10c</v>
      </c>
      <c r="E233" t="str">
        <f t="shared" si="3"/>
        <v>Kuznetsova;Sofiia;sofiia.kuznetsova@martinus-gymnasium.de;10c</v>
      </c>
    </row>
    <row r="234" spans="1:5" x14ac:dyDescent="0.2">
      <c r="A234" t="str">
        <f>SchülerInnen!A234</f>
        <v>Lo Iacono</v>
      </c>
      <c r="B234" t="str">
        <f>SchülerInnen!B234</f>
        <v>Giuliana</v>
      </c>
      <c r="C234" t="str">
        <f>SchülerInnen!E234</f>
        <v>giuliana.lo.iacono@martinus-gymnasium.de</v>
      </c>
      <c r="D234" t="str">
        <f>SchülerInnen!F234</f>
        <v>10c</v>
      </c>
      <c r="E234" t="str">
        <f t="shared" si="3"/>
        <v>Lo Iacono;Giuliana;giuliana.lo.iacono@martinus-gymnasium.de;10c</v>
      </c>
    </row>
    <row r="235" spans="1:5" x14ac:dyDescent="0.2">
      <c r="A235" t="str">
        <f>SchülerInnen!A235</f>
        <v>Mielke</v>
      </c>
      <c r="B235" t="str">
        <f>SchülerInnen!B235</f>
        <v>Johanna</v>
      </c>
      <c r="C235" t="str">
        <f>SchülerInnen!E235</f>
        <v>johanna.mielke@martinus-gymnasium.de</v>
      </c>
      <c r="D235" t="str">
        <f>SchülerInnen!F235</f>
        <v>10c</v>
      </c>
      <c r="E235" t="str">
        <f t="shared" si="3"/>
        <v>Mielke;Johanna;johanna.mielke@martinus-gymnasium.de;10c</v>
      </c>
    </row>
    <row r="236" spans="1:5" x14ac:dyDescent="0.2">
      <c r="A236" t="str">
        <f>SchülerInnen!A236</f>
        <v>Muthers</v>
      </c>
      <c r="B236" t="str">
        <f>SchülerInnen!B236</f>
        <v>Jonas</v>
      </c>
      <c r="C236" t="str">
        <f>SchülerInnen!E236</f>
        <v>jonas.muthers@martinus-gymnasium.de</v>
      </c>
      <c r="D236" t="str">
        <f>SchülerInnen!F236</f>
        <v>10c</v>
      </c>
      <c r="E236" t="str">
        <f t="shared" si="3"/>
        <v>Muthers;Jonas;jonas.muthers@martinus-gymnasium.de;10c</v>
      </c>
    </row>
    <row r="237" spans="1:5" x14ac:dyDescent="0.2">
      <c r="A237" t="str">
        <f>SchülerInnen!A237</f>
        <v>Özkaya</v>
      </c>
      <c r="B237" t="str">
        <f>SchülerInnen!B237</f>
        <v>Aylin</v>
      </c>
      <c r="C237" t="str">
        <f>SchülerInnen!E237</f>
        <v>aylin.özkaya@martinus-gymnasium.de</v>
      </c>
      <c r="D237" t="str">
        <f>SchülerInnen!F237</f>
        <v>10c</v>
      </c>
      <c r="E237" t="str">
        <f t="shared" si="3"/>
        <v>Özkaya;Aylin;aylin.özkaya@martinus-gymnasium.de;10c</v>
      </c>
    </row>
    <row r="238" spans="1:5" x14ac:dyDescent="0.2">
      <c r="A238" t="str">
        <f>SchülerInnen!A238</f>
        <v>Reichelt</v>
      </c>
      <c r="B238" t="str">
        <f>SchülerInnen!B238</f>
        <v>Lucas</v>
      </c>
      <c r="C238" t="str">
        <f>SchülerInnen!E238</f>
        <v>lucas.reichelt@martinus-gymnasium.de</v>
      </c>
      <c r="D238" t="str">
        <f>SchülerInnen!F238</f>
        <v>10c</v>
      </c>
      <c r="E238" t="str">
        <f t="shared" si="3"/>
        <v>Reichelt;Lucas;lucas.reichelt@martinus-gymnasium.de;10c</v>
      </c>
    </row>
    <row r="239" spans="1:5" x14ac:dyDescent="0.2">
      <c r="A239" t="str">
        <f>SchülerInnen!A239</f>
        <v>Rohloff</v>
      </c>
      <c r="B239" t="str">
        <f>SchülerInnen!B239</f>
        <v>Philine</v>
      </c>
      <c r="C239" t="str">
        <f>SchülerInnen!E239</f>
        <v>philine.rohloff@martinus-gymnasium.de</v>
      </c>
      <c r="D239" t="str">
        <f>SchülerInnen!F239</f>
        <v>10c</v>
      </c>
      <c r="E239" t="str">
        <f t="shared" si="3"/>
        <v>Rohloff;Philine;philine.rohloff@martinus-gymnasium.de;10c</v>
      </c>
    </row>
    <row r="240" spans="1:5" x14ac:dyDescent="0.2">
      <c r="A240" t="str">
        <f>SchülerInnen!A240</f>
        <v>Saad</v>
      </c>
      <c r="B240" t="str">
        <f>SchülerInnen!B240</f>
        <v>Goudy</v>
      </c>
      <c r="C240" t="str">
        <f>SchülerInnen!E240</f>
        <v>goudy.saad@martinus-gymnasium.de</v>
      </c>
      <c r="D240" t="str">
        <f>SchülerInnen!F240</f>
        <v>10c</v>
      </c>
      <c r="E240" t="str">
        <f t="shared" si="3"/>
        <v>Saad;Goudy;goudy.saad@martinus-gymnasium.de;10c</v>
      </c>
    </row>
    <row r="241" spans="1:5" x14ac:dyDescent="0.2">
      <c r="A241" t="str">
        <f>SchülerInnen!A241</f>
        <v>Sartor</v>
      </c>
      <c r="B241" t="str">
        <f>SchülerInnen!B241</f>
        <v>Joris</v>
      </c>
      <c r="C241" t="str">
        <f>SchülerInnen!E241</f>
        <v>joris.sartor@martinus-gymnasium.de</v>
      </c>
      <c r="D241" t="str">
        <f>SchülerInnen!F241</f>
        <v>10c</v>
      </c>
      <c r="E241" t="str">
        <f t="shared" si="3"/>
        <v>Sartor;Joris;joris.sartor@martinus-gymnasium.de;10c</v>
      </c>
    </row>
    <row r="242" spans="1:5" x14ac:dyDescent="0.2">
      <c r="A242" t="str">
        <f>SchülerInnen!A242</f>
        <v>Schlüter</v>
      </c>
      <c r="B242" t="str">
        <f>SchülerInnen!B242</f>
        <v>Leonie</v>
      </c>
      <c r="C242" t="str">
        <f>SchülerInnen!E242</f>
        <v>leonie.schlueter@martinus-gymnasium.de</v>
      </c>
      <c r="D242" t="str">
        <f>SchülerInnen!F242</f>
        <v>10c</v>
      </c>
      <c r="E242" t="str">
        <f t="shared" si="3"/>
        <v>Schlüter;Leonie;leonie.schlueter@martinus-gymnasium.de;10c</v>
      </c>
    </row>
    <row r="243" spans="1:5" x14ac:dyDescent="0.2">
      <c r="A243" t="str">
        <f>SchülerInnen!A243</f>
        <v>Schmitz</v>
      </c>
      <c r="B243" t="str">
        <f>SchülerInnen!B243</f>
        <v>Fynn</v>
      </c>
      <c r="C243" t="str">
        <f>SchülerInnen!E243</f>
        <v>fynn.schmitz@martinus-gymnasium.de</v>
      </c>
      <c r="D243" t="str">
        <f>SchülerInnen!F243</f>
        <v>10c</v>
      </c>
      <c r="E243" t="str">
        <f t="shared" si="3"/>
        <v>Schmitz;Fynn;fynn.schmitz@martinus-gymnasium.de;10c</v>
      </c>
    </row>
    <row r="244" spans="1:5" x14ac:dyDescent="0.2">
      <c r="A244" t="str">
        <f>SchülerInnen!A244</f>
        <v>Seib</v>
      </c>
      <c r="B244" t="str">
        <f>SchülerInnen!B244</f>
        <v>Elias</v>
      </c>
      <c r="C244" t="str">
        <f>SchülerInnen!E244</f>
        <v>elias.seib@martinus-gymnasium.de</v>
      </c>
      <c r="D244" t="str">
        <f>SchülerInnen!F244</f>
        <v>10c</v>
      </c>
      <c r="E244" t="str">
        <f t="shared" si="3"/>
        <v>Seib;Elias;elias.seib@martinus-gymnasium.de;10c</v>
      </c>
    </row>
    <row r="245" spans="1:5" x14ac:dyDescent="0.2">
      <c r="A245" t="str">
        <f>SchülerInnen!A245</f>
        <v>Trudrung</v>
      </c>
      <c r="B245" t="str">
        <f>SchülerInnen!B245</f>
        <v>Philipp</v>
      </c>
      <c r="C245" t="str">
        <f>SchülerInnen!E245</f>
        <v>philipp.trudrung@martinus-gymnasium.de</v>
      </c>
      <c r="D245" t="str">
        <f>SchülerInnen!F245</f>
        <v>10c</v>
      </c>
      <c r="E245" t="str">
        <f t="shared" si="3"/>
        <v>Trudrung;Philipp;philipp.trudrung@martinus-gymnasium.de;10c</v>
      </c>
    </row>
    <row r="246" spans="1:5" x14ac:dyDescent="0.2">
      <c r="A246" t="str">
        <f>SchülerInnen!A246</f>
        <v>Winkler</v>
      </c>
      <c r="B246" t="str">
        <f>SchülerInnen!B246</f>
        <v>Henrik</v>
      </c>
      <c r="C246" t="str">
        <f>SchülerInnen!E246</f>
        <v>henrik.winkler@martinus-gymnasium.de</v>
      </c>
      <c r="D246" t="str">
        <f>SchülerInnen!F246</f>
        <v>10c</v>
      </c>
      <c r="E246" t="str">
        <f t="shared" si="3"/>
        <v>Winkler;Henrik;henrik.winkler@martinus-gymnasium.de;10c</v>
      </c>
    </row>
    <row r="247" spans="1:5" x14ac:dyDescent="0.2">
      <c r="A247" t="str">
        <f>SchülerInnen!A247</f>
        <v>Abdul-Raouf</v>
      </c>
      <c r="B247" t="str">
        <f>SchülerInnen!B247</f>
        <v>Maryam</v>
      </c>
      <c r="C247" t="str">
        <f>SchülerInnen!E247</f>
        <v>maryam.abdul.raouf@martinus-gymnasium.de</v>
      </c>
      <c r="D247">
        <f>SchülerInnen!F247</f>
        <v>11</v>
      </c>
      <c r="E247" t="str">
        <f t="shared" si="3"/>
        <v>Abdul-Raouf;Maryam;maryam.abdul.raouf@martinus-gymnasium.de;11</v>
      </c>
    </row>
    <row r="248" spans="1:5" x14ac:dyDescent="0.2">
      <c r="A248" t="str">
        <f>SchülerInnen!A248</f>
        <v>Adolphi</v>
      </c>
      <c r="B248" t="str">
        <f>SchülerInnen!B248</f>
        <v>Bjarne Mathias</v>
      </c>
      <c r="C248" t="str">
        <f>SchülerInnen!E248</f>
        <v>bjarne.mathias.adolphi@martinus-gymnasium.de</v>
      </c>
      <c r="D248">
        <f>SchülerInnen!F248</f>
        <v>11</v>
      </c>
      <c r="E248" t="str">
        <f t="shared" si="3"/>
        <v>Adolphi;Bjarne Mathias;bjarne.mathias.adolphi@martinus-gymnasium.de;11</v>
      </c>
    </row>
    <row r="249" spans="1:5" x14ac:dyDescent="0.2">
      <c r="A249" t="str">
        <f>SchülerInnen!A249</f>
        <v>Alkesaab</v>
      </c>
      <c r="B249" t="str">
        <f>SchülerInnen!B249</f>
        <v>Rehma</v>
      </c>
      <c r="C249" t="str">
        <f>SchülerInnen!E249</f>
        <v>rehma.alkesaab@martinus-gymnasium.de</v>
      </c>
      <c r="D249">
        <f>SchülerInnen!F249</f>
        <v>11</v>
      </c>
      <c r="E249" t="str">
        <f t="shared" si="3"/>
        <v>Alkesaab;Rehma;rehma.alkesaab@martinus-gymnasium.de;11</v>
      </c>
    </row>
    <row r="250" spans="1:5" x14ac:dyDescent="0.2">
      <c r="A250" t="str">
        <f>SchülerInnen!A250</f>
        <v>Aßenmacher</v>
      </c>
      <c r="B250" t="str">
        <f>SchülerInnen!B250</f>
        <v>Magnus</v>
      </c>
      <c r="C250" t="str">
        <f>SchülerInnen!E250</f>
        <v>magnus.assenmacher@martinus-gymnasium.de</v>
      </c>
      <c r="D250">
        <f>SchülerInnen!F250</f>
        <v>11</v>
      </c>
      <c r="E250" t="str">
        <f t="shared" si="3"/>
        <v>Aßenmacher;Magnus;magnus.assenmacher@martinus-gymnasium.de;11</v>
      </c>
    </row>
    <row r="251" spans="1:5" x14ac:dyDescent="0.2">
      <c r="A251" t="str">
        <f>SchülerInnen!A251</f>
        <v>Aycicek</v>
      </c>
      <c r="B251" t="str">
        <f>SchülerInnen!B251</f>
        <v>Hansa Yagmur</v>
      </c>
      <c r="C251" t="str">
        <f>SchülerInnen!E251</f>
        <v>hansa.yagmur.aycicek@martinus-gymnasium.de</v>
      </c>
      <c r="D251">
        <f>SchülerInnen!F251</f>
        <v>11</v>
      </c>
      <c r="E251" t="str">
        <f t="shared" si="3"/>
        <v>Aycicek;Hansa Yagmur;hansa.yagmur.aycicek@martinus-gymnasium.de;11</v>
      </c>
    </row>
    <row r="252" spans="1:5" x14ac:dyDescent="0.2">
      <c r="A252" t="str">
        <f>SchülerInnen!A252</f>
        <v>Bakhtin</v>
      </c>
      <c r="B252" t="str">
        <f>SchülerInnen!B252</f>
        <v>Mykola</v>
      </c>
      <c r="C252" t="str">
        <f>SchülerInnen!E252</f>
        <v>mykola.bakhtin@martinus-gymnasium.de</v>
      </c>
      <c r="D252">
        <f>SchülerInnen!F252</f>
        <v>11</v>
      </c>
      <c r="E252" t="str">
        <f t="shared" si="3"/>
        <v>Bakhtin;Mykola;mykola.bakhtin@martinus-gymnasium.de;11</v>
      </c>
    </row>
    <row r="253" spans="1:5" x14ac:dyDescent="0.2">
      <c r="A253" t="str">
        <f>SchülerInnen!A253</f>
        <v>Beck</v>
      </c>
      <c r="B253" t="str">
        <f>SchülerInnen!B253</f>
        <v>Cilian Raúl</v>
      </c>
      <c r="C253" t="str">
        <f>SchülerInnen!E253</f>
        <v>cilian.raul.beck@martinus-gymnasium.de</v>
      </c>
      <c r="D253">
        <f>SchülerInnen!F253</f>
        <v>11</v>
      </c>
      <c r="E253" t="str">
        <f t="shared" si="3"/>
        <v>Beck;Cilian Raúl;cilian.raul.beck@martinus-gymnasium.de;11</v>
      </c>
    </row>
    <row r="254" spans="1:5" x14ac:dyDescent="0.2">
      <c r="A254" t="str">
        <f>SchülerInnen!A254</f>
        <v>Becker-Röttgen</v>
      </c>
      <c r="B254" t="str">
        <f>SchülerInnen!B254</f>
        <v>Merle</v>
      </c>
      <c r="C254" t="str">
        <f>SchülerInnen!E254</f>
        <v>merle.becker.roettgen@martinus-gymnasium.de</v>
      </c>
      <c r="D254">
        <f>SchülerInnen!F254</f>
        <v>11</v>
      </c>
      <c r="E254" t="str">
        <f t="shared" si="3"/>
        <v>Becker-Röttgen;Merle;merle.becker.roettgen@martinus-gymnasium.de;11</v>
      </c>
    </row>
    <row r="255" spans="1:5" x14ac:dyDescent="0.2">
      <c r="A255" t="str">
        <f>SchülerInnen!A255</f>
        <v>Busley</v>
      </c>
      <c r="B255" t="str">
        <f>SchülerInnen!B255</f>
        <v>Sophia</v>
      </c>
      <c r="C255" t="str">
        <f>SchülerInnen!E255</f>
        <v>sophia.busley@martinus-gymnasium.de</v>
      </c>
      <c r="D255">
        <f>SchülerInnen!F255</f>
        <v>11</v>
      </c>
      <c r="E255" t="str">
        <f t="shared" si="3"/>
        <v>Busley;Sophia;sophia.busley@martinus-gymnasium.de;11</v>
      </c>
    </row>
    <row r="256" spans="1:5" x14ac:dyDescent="0.2">
      <c r="A256" t="str">
        <f>SchülerInnen!A256</f>
        <v>Ceylan</v>
      </c>
      <c r="B256" t="str">
        <f>SchülerInnen!B256</f>
        <v>Seymen</v>
      </c>
      <c r="C256" t="str">
        <f>SchülerInnen!E256</f>
        <v>seymen.ceylan@martinus-gymnasium.de</v>
      </c>
      <c r="D256">
        <f>SchülerInnen!F256</f>
        <v>11</v>
      </c>
      <c r="E256" t="str">
        <f t="shared" si="3"/>
        <v>Ceylan;Seymen;seymen.ceylan@martinus-gymnasium.de;11</v>
      </c>
    </row>
    <row r="257" spans="1:5" x14ac:dyDescent="0.2">
      <c r="A257" t="str">
        <f>SchülerInnen!A257</f>
        <v>Chrenko</v>
      </c>
      <c r="B257" t="str">
        <f>SchülerInnen!B257</f>
        <v>Marlene</v>
      </c>
      <c r="C257" t="str">
        <f>SchülerInnen!E257</f>
        <v>marlene.chrenko@martinus-gymnasium.de</v>
      </c>
      <c r="D257">
        <f>SchülerInnen!F257</f>
        <v>11</v>
      </c>
      <c r="E257" t="str">
        <f t="shared" si="3"/>
        <v>Chrenko;Marlene;marlene.chrenko@martinus-gymnasium.de;11</v>
      </c>
    </row>
    <row r="258" spans="1:5" x14ac:dyDescent="0.2">
      <c r="A258" t="str">
        <f>SchülerInnen!A258</f>
        <v>Diederich</v>
      </c>
      <c r="B258" t="str">
        <f>SchülerInnen!B258</f>
        <v>Marie Sofie</v>
      </c>
      <c r="C258" t="str">
        <f>SchülerInnen!E258</f>
        <v>marie.sofie.diederich@martinus-gymnasium.de</v>
      </c>
      <c r="D258">
        <f>SchülerInnen!F258</f>
        <v>11</v>
      </c>
      <c r="E258" t="str">
        <f t="shared" si="3"/>
        <v>Diederich;Marie Sofie;marie.sofie.diederich@martinus-gymnasium.de;11</v>
      </c>
    </row>
    <row r="259" spans="1:5" x14ac:dyDescent="0.2">
      <c r="A259" t="str">
        <f>SchülerInnen!A259</f>
        <v>Dönhoff</v>
      </c>
      <c r="B259" t="str">
        <f>SchülerInnen!B259</f>
        <v>Fee</v>
      </c>
      <c r="C259" t="str">
        <f>SchülerInnen!E259</f>
        <v>fee.doenhoff@martinus-gymnasium.de</v>
      </c>
      <c r="D259">
        <f>SchülerInnen!F259</f>
        <v>11</v>
      </c>
      <c r="E259" t="str">
        <f t="shared" ref="E259:E322" si="4">_xlfn.TEXTJOIN(";",FALSE,A259:D259)</f>
        <v>Dönhoff;Fee;fee.doenhoff@martinus-gymnasium.de;11</v>
      </c>
    </row>
    <row r="260" spans="1:5" x14ac:dyDescent="0.2">
      <c r="A260" t="str">
        <f>SchülerInnen!A260</f>
        <v>Dorniak</v>
      </c>
      <c r="B260" t="str">
        <f>SchülerInnen!B260</f>
        <v>Marie Louisa</v>
      </c>
      <c r="C260" t="str">
        <f>SchülerInnen!E260</f>
        <v>marie.louisa.dorniak@martinus-gymnasium.de</v>
      </c>
      <c r="D260">
        <f>SchülerInnen!F260</f>
        <v>11</v>
      </c>
      <c r="E260" t="str">
        <f t="shared" si="4"/>
        <v>Dorniak;Marie Louisa;marie.louisa.dorniak@martinus-gymnasium.de;11</v>
      </c>
    </row>
    <row r="261" spans="1:5" x14ac:dyDescent="0.2">
      <c r="A261" t="str">
        <f>SchülerInnen!A261</f>
        <v>Emrich</v>
      </c>
      <c r="B261" t="str">
        <f>SchülerInnen!B261</f>
        <v>Sarah Michelle</v>
      </c>
      <c r="C261" t="str">
        <f>SchülerInnen!E261</f>
        <v>sarah.michelle.emrich@martinus-gymnasium.de</v>
      </c>
      <c r="D261">
        <f>SchülerInnen!F261</f>
        <v>11</v>
      </c>
      <c r="E261" t="str">
        <f t="shared" si="4"/>
        <v>Emrich;Sarah Michelle;sarah.michelle.emrich@martinus-gymnasium.de;11</v>
      </c>
    </row>
    <row r="262" spans="1:5" x14ac:dyDescent="0.2">
      <c r="A262" t="str">
        <f>SchülerInnen!A262</f>
        <v>Ertürk</v>
      </c>
      <c r="B262" t="str">
        <f>SchülerInnen!B262</f>
        <v>Ümit</v>
      </c>
      <c r="C262" t="str">
        <f>SchülerInnen!E262</f>
        <v>ümit.ertuerk@martinus-gymnasium.de</v>
      </c>
      <c r="D262">
        <f>SchülerInnen!F262</f>
        <v>11</v>
      </c>
      <c r="E262" t="str">
        <f t="shared" si="4"/>
        <v>Ertürk;Ümit;ümit.ertuerk@martinus-gymnasium.de;11</v>
      </c>
    </row>
    <row r="263" spans="1:5" x14ac:dyDescent="0.2">
      <c r="A263" t="str">
        <f>SchülerInnen!A263</f>
        <v>Frye</v>
      </c>
      <c r="B263" t="str">
        <f>SchülerInnen!B263</f>
        <v>Philip</v>
      </c>
      <c r="C263" t="str">
        <f>SchülerInnen!E263</f>
        <v>philip.frye@martinus-gymnasium.de</v>
      </c>
      <c r="D263">
        <f>SchülerInnen!F263</f>
        <v>11</v>
      </c>
      <c r="E263" t="str">
        <f t="shared" si="4"/>
        <v>Frye;Philip;philip.frye@martinus-gymnasium.de;11</v>
      </c>
    </row>
    <row r="264" spans="1:5" x14ac:dyDescent="0.2">
      <c r="A264" t="str">
        <f>SchülerInnen!A264</f>
        <v>Gerolstein</v>
      </c>
      <c r="B264" t="str">
        <f>SchülerInnen!B264</f>
        <v>Celina Sophie</v>
      </c>
      <c r="C264" t="str">
        <f>SchülerInnen!E264</f>
        <v>celina.sophie.gerolstein@martinus-gymnasium.de</v>
      </c>
      <c r="D264">
        <f>SchülerInnen!F264</f>
        <v>11</v>
      </c>
      <c r="E264" t="str">
        <f t="shared" si="4"/>
        <v>Gerolstein;Celina Sophie;celina.sophie.gerolstein@martinus-gymnasium.de;11</v>
      </c>
    </row>
    <row r="265" spans="1:5" x14ac:dyDescent="0.2">
      <c r="A265" t="str">
        <f>SchülerInnen!A265</f>
        <v>Guzday</v>
      </c>
      <c r="B265" t="str">
        <f>SchülerInnen!B265</f>
        <v>Kevin</v>
      </c>
      <c r="C265" t="str">
        <f>SchülerInnen!E265</f>
        <v>kevin.guzday@martinus-gymnasium.de</v>
      </c>
      <c r="D265">
        <f>SchülerInnen!F265</f>
        <v>11</v>
      </c>
      <c r="E265" t="str">
        <f t="shared" si="4"/>
        <v>Guzday;Kevin;kevin.guzday@martinus-gymnasium.de;11</v>
      </c>
    </row>
    <row r="266" spans="1:5" x14ac:dyDescent="0.2">
      <c r="A266" t="str">
        <f>SchülerInnen!A266</f>
        <v>Guzday</v>
      </c>
      <c r="B266" t="str">
        <f>SchülerInnen!B266</f>
        <v>Leon</v>
      </c>
      <c r="C266" t="str">
        <f>SchülerInnen!E266</f>
        <v>leon.guzday@martinus-gymnasium.de</v>
      </c>
      <c r="D266">
        <f>SchülerInnen!F266</f>
        <v>11</v>
      </c>
      <c r="E266" t="str">
        <f t="shared" si="4"/>
        <v>Guzday;Leon;leon.guzday@martinus-gymnasium.de;11</v>
      </c>
    </row>
    <row r="267" spans="1:5" x14ac:dyDescent="0.2">
      <c r="A267" t="str">
        <f>SchülerInnen!A267</f>
        <v>Häfner</v>
      </c>
      <c r="B267" t="str">
        <f>SchülerInnen!B267</f>
        <v>Lena</v>
      </c>
      <c r="C267" t="str">
        <f>SchülerInnen!E267</f>
        <v>lena.haefner@martinus-gymnasium.de</v>
      </c>
      <c r="D267">
        <f>SchülerInnen!F267</f>
        <v>11</v>
      </c>
      <c r="E267" t="str">
        <f t="shared" si="4"/>
        <v>Häfner;Lena;lena.haefner@martinus-gymnasium.de;11</v>
      </c>
    </row>
    <row r="268" spans="1:5" x14ac:dyDescent="0.2">
      <c r="A268" t="str">
        <f>SchülerInnen!A268</f>
        <v>Hagedorn</v>
      </c>
      <c r="B268" t="str">
        <f>SchülerInnen!B268</f>
        <v>Fynn</v>
      </c>
      <c r="C268" t="str">
        <f>SchülerInnen!E268</f>
        <v>fynn.hagedorn@martinus-gymnasium.de</v>
      </c>
      <c r="D268">
        <f>SchülerInnen!F268</f>
        <v>11</v>
      </c>
      <c r="E268" t="str">
        <f t="shared" si="4"/>
        <v>Hagedorn;Fynn;fynn.hagedorn@martinus-gymnasium.de;11</v>
      </c>
    </row>
    <row r="269" spans="1:5" x14ac:dyDescent="0.2">
      <c r="A269" t="str">
        <f>SchülerInnen!A269</f>
        <v>Hartmann</v>
      </c>
      <c r="B269" t="str">
        <f>SchülerInnen!B269</f>
        <v>Lena</v>
      </c>
      <c r="C269" t="str">
        <f>SchülerInnen!E269</f>
        <v>lena.hartmann@martinus-gymnasium.de</v>
      </c>
      <c r="D269">
        <f>SchülerInnen!F269</f>
        <v>11</v>
      </c>
      <c r="E269" t="str">
        <f t="shared" si="4"/>
        <v>Hartmann;Lena;lena.hartmann@martinus-gymnasium.de;11</v>
      </c>
    </row>
    <row r="270" spans="1:5" x14ac:dyDescent="0.2">
      <c r="A270" t="str">
        <f>SchülerInnen!A270</f>
        <v>Hermann</v>
      </c>
      <c r="B270" t="str">
        <f>SchülerInnen!B270</f>
        <v>Leonie Caitriana</v>
      </c>
      <c r="C270" t="str">
        <f>SchülerInnen!E270</f>
        <v>leonie.caitriana.hermann@martinus-gymnasium.de</v>
      </c>
      <c r="D270">
        <f>SchülerInnen!F270</f>
        <v>11</v>
      </c>
      <c r="E270" t="str">
        <f t="shared" si="4"/>
        <v>Hermann;Leonie Caitriana;leonie.caitriana.hermann@martinus-gymnasium.de;11</v>
      </c>
    </row>
    <row r="271" spans="1:5" x14ac:dyDescent="0.2">
      <c r="A271" t="str">
        <f>SchülerInnen!A271</f>
        <v>Hermann</v>
      </c>
      <c r="B271" t="str">
        <f>SchülerInnen!B271</f>
        <v>Pauline Frederike</v>
      </c>
      <c r="C271" t="str">
        <f>SchülerInnen!E271</f>
        <v>pauline.frederike.hermann@martinus-gymnasium.de</v>
      </c>
      <c r="D271">
        <f>SchülerInnen!F271</f>
        <v>11</v>
      </c>
      <c r="E271" t="str">
        <f t="shared" si="4"/>
        <v>Hermann;Pauline Frederike;pauline.frederike.hermann@martinus-gymnasium.de;11</v>
      </c>
    </row>
    <row r="272" spans="1:5" x14ac:dyDescent="0.2">
      <c r="A272" t="str">
        <f>SchülerInnen!A272</f>
        <v>Hildebrandt</v>
      </c>
      <c r="B272" t="str">
        <f>SchülerInnen!B272</f>
        <v>Elias</v>
      </c>
      <c r="C272" t="str">
        <f>SchülerInnen!E272</f>
        <v>elias.hildebrandt@martinus-gymnasium.de</v>
      </c>
      <c r="D272">
        <f>SchülerInnen!F272</f>
        <v>11</v>
      </c>
      <c r="E272" t="str">
        <f t="shared" si="4"/>
        <v>Hildebrandt;Elias;elias.hildebrandt@martinus-gymnasium.de;11</v>
      </c>
    </row>
    <row r="273" spans="1:5" x14ac:dyDescent="0.2">
      <c r="A273" t="str">
        <f>SchülerInnen!A273</f>
        <v>Hillmann</v>
      </c>
      <c r="B273" t="str">
        <f>SchülerInnen!B273</f>
        <v>Fabian Linus</v>
      </c>
      <c r="C273" t="str">
        <f>SchülerInnen!E273</f>
        <v>fabian.linus.hillmann@martinus-gymnasium.de</v>
      </c>
      <c r="D273">
        <f>SchülerInnen!F273</f>
        <v>11</v>
      </c>
      <c r="E273" t="str">
        <f t="shared" si="4"/>
        <v>Hillmann;Fabian Linus;fabian.linus.hillmann@martinus-gymnasium.de;11</v>
      </c>
    </row>
    <row r="274" spans="1:5" x14ac:dyDescent="0.2">
      <c r="A274" t="str">
        <f>SchülerInnen!A274</f>
        <v>Hoffmann</v>
      </c>
      <c r="B274" t="str">
        <f>SchülerInnen!B274</f>
        <v>Alexander</v>
      </c>
      <c r="C274" t="str">
        <f>SchülerInnen!E274</f>
        <v>alexander.hoffmann@martinus-gymnasium.de</v>
      </c>
      <c r="D274">
        <f>SchülerInnen!F274</f>
        <v>11</v>
      </c>
      <c r="E274" t="str">
        <f t="shared" si="4"/>
        <v>Hoffmann;Alexander;alexander.hoffmann@martinus-gymnasium.de;11</v>
      </c>
    </row>
    <row r="275" spans="1:5" x14ac:dyDescent="0.2">
      <c r="A275" t="str">
        <f>SchülerInnen!A275</f>
        <v>Homscheid</v>
      </c>
      <c r="B275" t="str">
        <f>SchülerInnen!B275</f>
        <v>Lars</v>
      </c>
      <c r="C275" t="str">
        <f>SchülerInnen!E275</f>
        <v>lars.homscheid@martinus-gymnasium.de</v>
      </c>
      <c r="D275">
        <f>SchülerInnen!F275</f>
        <v>11</v>
      </c>
      <c r="E275" t="str">
        <f t="shared" si="4"/>
        <v>Homscheid;Lars;lars.homscheid@martinus-gymnasium.de;11</v>
      </c>
    </row>
    <row r="276" spans="1:5" x14ac:dyDescent="0.2">
      <c r="A276" t="str">
        <f>SchülerInnen!A276</f>
        <v>Ivanov</v>
      </c>
      <c r="B276" t="str">
        <f>SchülerInnen!B276</f>
        <v>Tymur</v>
      </c>
      <c r="C276" t="str">
        <f>SchülerInnen!E276</f>
        <v>tymur.ivanov@martinus-gymnasium.de</v>
      </c>
      <c r="D276">
        <f>SchülerInnen!F276</f>
        <v>11</v>
      </c>
      <c r="E276" t="str">
        <f t="shared" si="4"/>
        <v>Ivanov;Tymur;tymur.ivanov@martinus-gymnasium.de;11</v>
      </c>
    </row>
    <row r="277" spans="1:5" x14ac:dyDescent="0.2">
      <c r="A277" t="str">
        <f>SchülerInnen!A277</f>
        <v>Jesse</v>
      </c>
      <c r="B277" t="str">
        <f>SchülerInnen!B277</f>
        <v>Elias</v>
      </c>
      <c r="C277" t="str">
        <f>SchülerInnen!E277</f>
        <v>elias.jesse@martinus-gymnasium.de</v>
      </c>
      <c r="D277">
        <f>SchülerInnen!F277</f>
        <v>11</v>
      </c>
      <c r="E277" t="str">
        <f t="shared" si="4"/>
        <v>Jesse;Elias;elias.jesse@martinus-gymnasium.de;11</v>
      </c>
    </row>
    <row r="278" spans="1:5" x14ac:dyDescent="0.2">
      <c r="A278" t="str">
        <f>SchülerInnen!A278</f>
        <v>Kandels</v>
      </c>
      <c r="B278" t="str">
        <f>SchülerInnen!B278</f>
        <v>Nils</v>
      </c>
      <c r="C278" t="str">
        <f>SchülerInnen!E278</f>
        <v>nils.kandels@martinus-gymnasium.de</v>
      </c>
      <c r="D278">
        <f>SchülerInnen!F278</f>
        <v>11</v>
      </c>
      <c r="E278" t="str">
        <f t="shared" si="4"/>
        <v>Kandels;Nils;nils.kandels@martinus-gymnasium.de;11</v>
      </c>
    </row>
    <row r="279" spans="1:5" x14ac:dyDescent="0.2">
      <c r="A279" t="str">
        <f>SchülerInnen!A279</f>
        <v>Kanoglu</v>
      </c>
      <c r="B279" t="str">
        <f>SchülerInnen!B279</f>
        <v>Karl Alan</v>
      </c>
      <c r="C279" t="str">
        <f>SchülerInnen!E279</f>
        <v>karl.alan.kanoglu@martinus-gymnasium.de</v>
      </c>
      <c r="D279">
        <f>SchülerInnen!F279</f>
        <v>11</v>
      </c>
      <c r="E279" t="str">
        <f t="shared" si="4"/>
        <v>Kanoglu;Karl Alan;karl.alan.kanoglu@martinus-gymnasium.de;11</v>
      </c>
    </row>
    <row r="280" spans="1:5" x14ac:dyDescent="0.2">
      <c r="A280" t="str">
        <f>SchülerInnen!A280</f>
        <v>Kasperowicz</v>
      </c>
      <c r="B280" t="str">
        <f>SchülerInnen!B280</f>
        <v>Oskar Szymon</v>
      </c>
      <c r="C280" t="str">
        <f>SchülerInnen!E280</f>
        <v>oskar.szymon.kasperowicz@martinus-gymnasium.de</v>
      </c>
      <c r="D280">
        <f>SchülerInnen!F280</f>
        <v>11</v>
      </c>
      <c r="E280" t="str">
        <f t="shared" si="4"/>
        <v>Kasperowicz;Oskar Szymon;oskar.szymon.kasperowicz@martinus-gymnasium.de;11</v>
      </c>
    </row>
    <row r="281" spans="1:5" x14ac:dyDescent="0.2">
      <c r="A281" t="str">
        <f>SchülerInnen!A281</f>
        <v>Keller</v>
      </c>
      <c r="B281" t="str">
        <f>SchülerInnen!B281</f>
        <v>Tim</v>
      </c>
      <c r="C281" t="str">
        <f>SchülerInnen!E281</f>
        <v>tim.keller@martinus-gymnasium.de</v>
      </c>
      <c r="D281">
        <f>SchülerInnen!F281</f>
        <v>11</v>
      </c>
      <c r="E281" t="str">
        <f t="shared" si="4"/>
        <v>Keller;Tim;tim.keller@martinus-gymnasium.de;11</v>
      </c>
    </row>
    <row r="282" spans="1:5" x14ac:dyDescent="0.2">
      <c r="A282" t="str">
        <f>SchülerInnen!A282</f>
        <v>Khatibifard</v>
      </c>
      <c r="B282" t="str">
        <f>SchülerInnen!B282</f>
        <v>Mohammadmahdi</v>
      </c>
      <c r="C282" t="str">
        <f>SchülerInnen!E282</f>
        <v>mohammadmahdi.khatibifard@martinus-gymnasium.de</v>
      </c>
      <c r="D282">
        <f>SchülerInnen!F282</f>
        <v>11</v>
      </c>
      <c r="E282" t="str">
        <f t="shared" si="4"/>
        <v>Khatibifard;Mohammadmahdi;mohammadmahdi.khatibifard@martinus-gymnasium.de;11</v>
      </c>
    </row>
    <row r="283" spans="1:5" x14ac:dyDescent="0.2">
      <c r="A283" t="str">
        <f>SchülerInnen!A283</f>
        <v>Khazdouzian</v>
      </c>
      <c r="B283" t="str">
        <f>SchülerInnen!B283</f>
        <v>Jolie Shanti</v>
      </c>
      <c r="C283" t="str">
        <f>SchülerInnen!E283</f>
        <v>jolie.shanti.khazdouzian@martinus-gymnasium.de</v>
      </c>
      <c r="D283">
        <f>SchülerInnen!F283</f>
        <v>11</v>
      </c>
      <c r="E283" t="str">
        <f t="shared" si="4"/>
        <v>Khazdouzian;Jolie Shanti;jolie.shanti.khazdouzian@martinus-gymnasium.de;11</v>
      </c>
    </row>
    <row r="284" spans="1:5" x14ac:dyDescent="0.2">
      <c r="A284" t="str">
        <f>SchülerInnen!A284</f>
        <v>Knoop</v>
      </c>
      <c r="B284" t="str">
        <f>SchülerInnen!B284</f>
        <v>Justin</v>
      </c>
      <c r="C284" t="str">
        <f>SchülerInnen!E284</f>
        <v>justin.knoop@martinus-gymnasium.de</v>
      </c>
      <c r="D284">
        <f>SchülerInnen!F284</f>
        <v>11</v>
      </c>
      <c r="E284" t="str">
        <f t="shared" si="4"/>
        <v>Knoop;Justin;justin.knoop@martinus-gymnasium.de;11</v>
      </c>
    </row>
    <row r="285" spans="1:5" x14ac:dyDescent="0.2">
      <c r="A285" t="str">
        <f>SchülerInnen!A285</f>
        <v>Kokums</v>
      </c>
      <c r="B285" t="str">
        <f>SchülerInnen!B285</f>
        <v>Kristers</v>
      </c>
      <c r="C285" t="str">
        <f>SchülerInnen!E285</f>
        <v>kristers.kokums@martinus-gymnasium.de</v>
      </c>
      <c r="D285">
        <f>SchülerInnen!F285</f>
        <v>11</v>
      </c>
      <c r="E285" t="str">
        <f t="shared" si="4"/>
        <v>Kokums;Kristers;kristers.kokums@martinus-gymnasium.de;11</v>
      </c>
    </row>
    <row r="286" spans="1:5" x14ac:dyDescent="0.2">
      <c r="A286" t="str">
        <f>SchülerInnen!A286</f>
        <v>Königs</v>
      </c>
      <c r="B286" t="str">
        <f>SchülerInnen!B286</f>
        <v>Tim</v>
      </c>
      <c r="C286" t="str">
        <f>SchülerInnen!E286</f>
        <v>tim.koenigs@martinus-gymnasium.de</v>
      </c>
      <c r="D286">
        <f>SchülerInnen!F286</f>
        <v>11</v>
      </c>
      <c r="E286" t="str">
        <f t="shared" si="4"/>
        <v>Königs;Tim;tim.koenigs@martinus-gymnasium.de;11</v>
      </c>
    </row>
    <row r="287" spans="1:5" x14ac:dyDescent="0.2">
      <c r="A287" t="str">
        <f>SchülerInnen!A287</f>
        <v>Kröger</v>
      </c>
      <c r="B287" t="str">
        <f>SchülerInnen!B287</f>
        <v>Timo Alfred</v>
      </c>
      <c r="C287" t="str">
        <f>SchülerInnen!E287</f>
        <v>timo.alfred.kroeger@martinus-gymnasium.de</v>
      </c>
      <c r="D287">
        <f>SchülerInnen!F287</f>
        <v>11</v>
      </c>
      <c r="E287" t="str">
        <f t="shared" si="4"/>
        <v>Kröger;Timo Alfred;timo.alfred.kroeger@martinus-gymnasium.de;11</v>
      </c>
    </row>
    <row r="288" spans="1:5" x14ac:dyDescent="0.2">
      <c r="A288" t="str">
        <f>SchülerInnen!A288</f>
        <v>Kröll</v>
      </c>
      <c r="B288" t="str">
        <f>SchülerInnen!B288</f>
        <v>Melina</v>
      </c>
      <c r="C288" t="str">
        <f>SchülerInnen!E288</f>
        <v>melina.kroell@martinus-gymnasium.de</v>
      </c>
      <c r="D288">
        <f>SchülerInnen!F288</f>
        <v>11</v>
      </c>
      <c r="E288" t="str">
        <f t="shared" si="4"/>
        <v>Kröll;Melina;melina.kroell@martinus-gymnasium.de;11</v>
      </c>
    </row>
    <row r="289" spans="1:5" x14ac:dyDescent="0.2">
      <c r="A289" t="str">
        <f>SchülerInnen!A289</f>
        <v>Kronfoth</v>
      </c>
      <c r="B289" t="str">
        <f>SchülerInnen!B289</f>
        <v>Kyra</v>
      </c>
      <c r="C289" t="str">
        <f>SchülerInnen!E289</f>
        <v>kyra.kronfoth@martinus-gymnasium.de</v>
      </c>
      <c r="D289">
        <f>SchülerInnen!F289</f>
        <v>11</v>
      </c>
      <c r="E289" t="str">
        <f t="shared" si="4"/>
        <v>Kronfoth;Kyra;kyra.kronfoth@martinus-gymnasium.de;11</v>
      </c>
    </row>
    <row r="290" spans="1:5" x14ac:dyDescent="0.2">
      <c r="A290" t="str">
        <f>SchülerInnen!A290</f>
        <v>Kuruc</v>
      </c>
      <c r="B290" t="str">
        <f>SchülerInnen!B290</f>
        <v>Petra</v>
      </c>
      <c r="C290" t="str">
        <f>SchülerInnen!E290</f>
        <v>petra.kuruc@martinus-gymnasium.de</v>
      </c>
      <c r="D290">
        <f>SchülerInnen!F290</f>
        <v>11</v>
      </c>
      <c r="E290" t="str">
        <f t="shared" si="4"/>
        <v>Kuruc;Petra;petra.kuruc@martinus-gymnasium.de;11</v>
      </c>
    </row>
    <row r="291" spans="1:5" x14ac:dyDescent="0.2">
      <c r="A291" t="str">
        <f>SchülerInnen!A291</f>
        <v>Lampke</v>
      </c>
      <c r="B291" t="str">
        <f>SchülerInnen!B291</f>
        <v>Maximilian</v>
      </c>
      <c r="C291" t="str">
        <f>SchülerInnen!E291</f>
        <v>maximilian.lampke@martinus-gymnasium.de</v>
      </c>
      <c r="D291">
        <f>SchülerInnen!F291</f>
        <v>11</v>
      </c>
      <c r="E291" t="str">
        <f t="shared" si="4"/>
        <v>Lampke;Maximilian;maximilian.lampke@martinus-gymnasium.de;11</v>
      </c>
    </row>
    <row r="292" spans="1:5" x14ac:dyDescent="0.2">
      <c r="A292" t="str">
        <f>SchülerInnen!A292</f>
        <v>Lay</v>
      </c>
      <c r="B292" t="str">
        <f>SchülerInnen!B292</f>
        <v>Bennet Laurin</v>
      </c>
      <c r="C292" t="str">
        <f>SchülerInnen!E292</f>
        <v>bennet.laurin.lay@martinus-gymnasium.de</v>
      </c>
      <c r="D292">
        <f>SchülerInnen!F292</f>
        <v>11</v>
      </c>
      <c r="E292" t="str">
        <f t="shared" si="4"/>
        <v>Lay;Bennet Laurin;bennet.laurin.lay@martinus-gymnasium.de;11</v>
      </c>
    </row>
    <row r="293" spans="1:5" x14ac:dyDescent="0.2">
      <c r="A293" t="str">
        <f>SchülerInnen!A293</f>
        <v>Lokaj</v>
      </c>
      <c r="B293" t="str">
        <f>SchülerInnen!B293</f>
        <v>Artian</v>
      </c>
      <c r="C293" t="str">
        <f>SchülerInnen!E293</f>
        <v>artian.lokaj@martinus-gymnasium.de</v>
      </c>
      <c r="D293">
        <f>SchülerInnen!F293</f>
        <v>11</v>
      </c>
      <c r="E293" t="str">
        <f t="shared" si="4"/>
        <v>Lokaj;Artian;artian.lokaj@martinus-gymnasium.de;11</v>
      </c>
    </row>
    <row r="294" spans="1:5" x14ac:dyDescent="0.2">
      <c r="A294" t="str">
        <f>SchülerInnen!A294</f>
        <v>Mancoglu</v>
      </c>
      <c r="B294" t="str">
        <f>SchülerInnen!B294</f>
        <v>Furkan</v>
      </c>
      <c r="C294" t="str">
        <f>SchülerInnen!E294</f>
        <v>furkan.mancoglu@martinus-gymnasium.de</v>
      </c>
      <c r="D294">
        <f>SchülerInnen!F294</f>
        <v>11</v>
      </c>
      <c r="E294" t="str">
        <f t="shared" si="4"/>
        <v>Mancoglu;Furkan;furkan.mancoglu@martinus-gymnasium.de;11</v>
      </c>
    </row>
    <row r="295" spans="1:5" x14ac:dyDescent="0.2">
      <c r="A295" t="str">
        <f>SchülerInnen!A295</f>
        <v>Martin</v>
      </c>
      <c r="B295" t="str">
        <f>SchülerInnen!B295</f>
        <v>Lara</v>
      </c>
      <c r="C295" t="str">
        <f>SchülerInnen!E295</f>
        <v>lara.martin@martinus-gymnasium.de</v>
      </c>
      <c r="D295">
        <f>SchülerInnen!F295</f>
        <v>11</v>
      </c>
      <c r="E295" t="str">
        <f t="shared" si="4"/>
        <v>Martin;Lara;lara.martin@martinus-gymnasium.de;11</v>
      </c>
    </row>
    <row r="296" spans="1:5" x14ac:dyDescent="0.2">
      <c r="A296" t="str">
        <f>SchülerInnen!A296</f>
        <v>Mertesacker</v>
      </c>
      <c r="B296" t="str">
        <f>SchülerInnen!B296</f>
        <v>Annalena</v>
      </c>
      <c r="C296" t="str">
        <f>SchülerInnen!E296</f>
        <v>annalena.mertesacker@martinus-gymnasium.de</v>
      </c>
      <c r="D296">
        <f>SchülerInnen!F296</f>
        <v>11</v>
      </c>
      <c r="E296" t="str">
        <f t="shared" si="4"/>
        <v>Mertesacker;Annalena;annalena.mertesacker@martinus-gymnasium.de;11</v>
      </c>
    </row>
    <row r="297" spans="1:5" x14ac:dyDescent="0.2">
      <c r="A297" t="str">
        <f>SchülerInnen!A297</f>
        <v>Milinkovic</v>
      </c>
      <c r="B297" t="str">
        <f>SchülerInnen!B297</f>
        <v>Katarina</v>
      </c>
      <c r="C297" t="str">
        <f>SchülerInnen!E297</f>
        <v>katarina.milinkovic@martinus-gymnasium.de</v>
      </c>
      <c r="D297">
        <f>SchülerInnen!F297</f>
        <v>11</v>
      </c>
      <c r="E297" t="str">
        <f t="shared" si="4"/>
        <v>Milinkovic;Katarina;katarina.milinkovic@martinus-gymnasium.de;11</v>
      </c>
    </row>
    <row r="298" spans="1:5" x14ac:dyDescent="0.2">
      <c r="A298" t="str">
        <f>SchülerInnen!A298</f>
        <v>Müller</v>
      </c>
      <c r="B298" t="str">
        <f>SchülerInnen!B298</f>
        <v>Leni</v>
      </c>
      <c r="C298" t="str">
        <f>SchülerInnen!E298</f>
        <v>leni.mueller@martinus-gymnasium.de</v>
      </c>
      <c r="D298">
        <f>SchülerInnen!F298</f>
        <v>11</v>
      </c>
      <c r="E298" t="str">
        <f t="shared" si="4"/>
        <v>Müller;Leni;leni.mueller@martinus-gymnasium.de;11</v>
      </c>
    </row>
    <row r="299" spans="1:5" x14ac:dyDescent="0.2">
      <c r="A299" t="str">
        <f>SchülerInnen!A299</f>
        <v>Munsch</v>
      </c>
      <c r="B299" t="str">
        <f>SchülerInnen!B299</f>
        <v>Moritz</v>
      </c>
      <c r="C299" t="str">
        <f>SchülerInnen!E299</f>
        <v>moritz.munsch@martinus-gymnasium.de</v>
      </c>
      <c r="D299">
        <f>SchülerInnen!F299</f>
        <v>11</v>
      </c>
      <c r="E299" t="str">
        <f t="shared" si="4"/>
        <v>Munsch;Moritz;moritz.munsch@martinus-gymnasium.de;11</v>
      </c>
    </row>
    <row r="300" spans="1:5" x14ac:dyDescent="0.2">
      <c r="A300" t="str">
        <f>SchülerInnen!A300</f>
        <v>Muthers</v>
      </c>
      <c r="B300" t="str">
        <f>SchülerInnen!B300</f>
        <v>Nele</v>
      </c>
      <c r="C300" t="str">
        <f>SchülerInnen!E300</f>
        <v>nele.muthers@martinus-gymnasium.de</v>
      </c>
      <c r="D300">
        <f>SchülerInnen!F300</f>
        <v>11</v>
      </c>
      <c r="E300" t="str">
        <f t="shared" si="4"/>
        <v>Muthers;Nele;nele.muthers@martinus-gymnasium.de;11</v>
      </c>
    </row>
    <row r="301" spans="1:5" x14ac:dyDescent="0.2">
      <c r="A301" t="str">
        <f>SchülerInnen!A301</f>
        <v>Napelyani</v>
      </c>
      <c r="B301" t="str">
        <f>SchülerInnen!B301</f>
        <v>Haniya</v>
      </c>
      <c r="C301" t="str">
        <f>SchülerInnen!E301</f>
        <v>haniya.napelyani@martinus-gymnasium.de</v>
      </c>
      <c r="D301">
        <f>SchülerInnen!F301</f>
        <v>11</v>
      </c>
      <c r="E301" t="str">
        <f t="shared" si="4"/>
        <v>Napelyani;Haniya;haniya.napelyani@martinus-gymnasium.de;11</v>
      </c>
    </row>
    <row r="302" spans="1:5" x14ac:dyDescent="0.2">
      <c r="A302" t="str">
        <f>SchülerInnen!A302</f>
        <v>Neve</v>
      </c>
      <c r="B302" t="str">
        <f>SchülerInnen!B302</f>
        <v>Tatiana Marie</v>
      </c>
      <c r="C302" t="str">
        <f>SchülerInnen!E302</f>
        <v>tatiana.marie.neve@martinus-gymnasium.de</v>
      </c>
      <c r="D302">
        <f>SchülerInnen!F302</f>
        <v>11</v>
      </c>
      <c r="E302" t="str">
        <f t="shared" si="4"/>
        <v>Neve;Tatiana Marie;tatiana.marie.neve@martinus-gymnasium.de;11</v>
      </c>
    </row>
    <row r="303" spans="1:5" x14ac:dyDescent="0.2">
      <c r="A303" t="str">
        <f>SchülerInnen!A303</f>
        <v>Nguyen</v>
      </c>
      <c r="B303" t="str">
        <f>SchülerInnen!B303</f>
        <v>Khanh Ly</v>
      </c>
      <c r="C303" t="str">
        <f>SchülerInnen!E303</f>
        <v>khanh.ly.nguyen@martinus-gymnasium.de</v>
      </c>
      <c r="D303">
        <f>SchülerInnen!F303</f>
        <v>11</v>
      </c>
      <c r="E303" t="str">
        <f t="shared" si="4"/>
        <v>Nguyen;Khanh Ly;khanh.ly.nguyen@martinus-gymnasium.de;11</v>
      </c>
    </row>
    <row r="304" spans="1:5" x14ac:dyDescent="0.2">
      <c r="A304" t="str">
        <f>SchülerInnen!A304</f>
        <v>Nguyen</v>
      </c>
      <c r="B304" t="str">
        <f>SchülerInnen!B304</f>
        <v>Quang-Binh</v>
      </c>
      <c r="C304" t="str">
        <f>SchülerInnen!E304</f>
        <v>quang.binh.nguyen@martinus-gymnasium.de</v>
      </c>
      <c r="D304">
        <f>SchülerInnen!F304</f>
        <v>11</v>
      </c>
      <c r="E304" t="str">
        <f t="shared" si="4"/>
        <v>Nguyen;Quang-Binh;quang.binh.nguyen@martinus-gymnasium.de;11</v>
      </c>
    </row>
    <row r="305" spans="1:5" x14ac:dyDescent="0.2">
      <c r="A305" t="str">
        <f>SchülerInnen!A305</f>
        <v>Pöpping</v>
      </c>
      <c r="B305" t="str">
        <f>SchülerInnen!B305</f>
        <v>Melina</v>
      </c>
      <c r="C305" t="str">
        <f>SchülerInnen!E305</f>
        <v>melina.poepping@martinus-gymnasium.de</v>
      </c>
      <c r="D305">
        <f>SchülerInnen!F305</f>
        <v>11</v>
      </c>
      <c r="E305" t="str">
        <f t="shared" si="4"/>
        <v>Pöpping;Melina;melina.poepping@martinus-gymnasium.de;11</v>
      </c>
    </row>
    <row r="306" spans="1:5" x14ac:dyDescent="0.2">
      <c r="A306" t="str">
        <f>SchülerInnen!A306</f>
        <v>Profitlich</v>
      </c>
      <c r="B306" t="str">
        <f>SchülerInnen!B306</f>
        <v>Leon</v>
      </c>
      <c r="C306" t="str">
        <f>SchülerInnen!E306</f>
        <v>leon.profitlich@martinus-gymnasium.de</v>
      </c>
      <c r="D306">
        <f>SchülerInnen!F306</f>
        <v>11</v>
      </c>
      <c r="E306" t="str">
        <f t="shared" si="4"/>
        <v>Profitlich;Leon;leon.profitlich@martinus-gymnasium.de;11</v>
      </c>
    </row>
    <row r="307" spans="1:5" x14ac:dyDescent="0.2">
      <c r="A307" t="str">
        <f>SchülerInnen!A307</f>
        <v>Prytula</v>
      </c>
      <c r="B307" t="str">
        <f>SchülerInnen!B307</f>
        <v>Nazar</v>
      </c>
      <c r="C307" t="str">
        <f>SchülerInnen!E307</f>
        <v>nazar.prytula@martinus-gymnasium.de</v>
      </c>
      <c r="D307">
        <f>SchülerInnen!F307</f>
        <v>11</v>
      </c>
      <c r="E307" t="str">
        <f t="shared" si="4"/>
        <v>Prytula;Nazar;nazar.prytula@martinus-gymnasium.de;11</v>
      </c>
    </row>
    <row r="308" spans="1:5" x14ac:dyDescent="0.2">
      <c r="A308" t="str">
        <f>SchülerInnen!A308</f>
        <v>Reitz</v>
      </c>
      <c r="B308" t="str">
        <f>SchülerInnen!B308</f>
        <v>Emilia Maria</v>
      </c>
      <c r="C308" t="str">
        <f>SchülerInnen!E308</f>
        <v>emilia.maria.reitz@martinus-gymnasium.de</v>
      </c>
      <c r="D308">
        <f>SchülerInnen!F308</f>
        <v>11</v>
      </c>
      <c r="E308" t="str">
        <f t="shared" si="4"/>
        <v>Reitz;Emilia Maria;emilia.maria.reitz@martinus-gymnasium.de;11</v>
      </c>
    </row>
    <row r="309" spans="1:5" x14ac:dyDescent="0.2">
      <c r="A309" t="str">
        <f>SchülerInnen!A309</f>
        <v>Rodriguez Escher</v>
      </c>
      <c r="B309" t="str">
        <f>SchülerInnen!B309</f>
        <v>Helena</v>
      </c>
      <c r="C309" t="str">
        <f>SchülerInnen!E309</f>
        <v>helena.rodriguez.escher@martinus-gymnasium.de</v>
      </c>
      <c r="D309">
        <f>SchülerInnen!F309</f>
        <v>11</v>
      </c>
      <c r="E309" t="str">
        <f t="shared" si="4"/>
        <v>Rodriguez Escher;Helena;helena.rodriguez.escher@martinus-gymnasium.de;11</v>
      </c>
    </row>
    <row r="310" spans="1:5" x14ac:dyDescent="0.2">
      <c r="A310" t="str">
        <f>SchülerInnen!A310</f>
        <v>Runkel</v>
      </c>
      <c r="B310" t="str">
        <f>SchülerInnen!B310</f>
        <v>Yasmin</v>
      </c>
      <c r="C310" t="str">
        <f>SchülerInnen!E310</f>
        <v>yasmin.runkel@martinus-gymnasium.de</v>
      </c>
      <c r="D310">
        <f>SchülerInnen!F310</f>
        <v>11</v>
      </c>
      <c r="E310" t="str">
        <f t="shared" si="4"/>
        <v>Runkel;Yasmin;yasmin.runkel@martinus-gymnasium.de;11</v>
      </c>
    </row>
    <row r="311" spans="1:5" x14ac:dyDescent="0.2">
      <c r="A311" t="str">
        <f>SchülerInnen!A311</f>
        <v>Sahinbay</v>
      </c>
      <c r="B311" t="str">
        <f>SchülerInnen!B311</f>
        <v>Saltuk Emir</v>
      </c>
      <c r="C311" t="str">
        <f>SchülerInnen!E311</f>
        <v>saltuk.emir.sahinbay@martinus-gymnasium.de</v>
      </c>
      <c r="D311">
        <f>SchülerInnen!F311</f>
        <v>11</v>
      </c>
      <c r="E311" t="str">
        <f t="shared" si="4"/>
        <v>Sahinbay;Saltuk Emir;saltuk.emir.sahinbay@martinus-gymnasium.de;11</v>
      </c>
    </row>
    <row r="312" spans="1:5" x14ac:dyDescent="0.2">
      <c r="A312" t="str">
        <f>SchülerInnen!A312</f>
        <v>Salimi</v>
      </c>
      <c r="B312" t="str">
        <f>SchülerInnen!B312</f>
        <v>Marwa</v>
      </c>
      <c r="C312" t="str">
        <f>SchülerInnen!E312</f>
        <v>marwa.salimi@martinus-gymnasium.de</v>
      </c>
      <c r="D312">
        <f>SchülerInnen!F312</f>
        <v>11</v>
      </c>
      <c r="E312" t="str">
        <f t="shared" si="4"/>
        <v>Salimi;Marwa;marwa.salimi@martinus-gymnasium.de;11</v>
      </c>
    </row>
    <row r="313" spans="1:5" x14ac:dyDescent="0.2">
      <c r="A313" t="str">
        <f>SchülerInnen!A313</f>
        <v>Sartor</v>
      </c>
      <c r="B313" t="str">
        <f>SchülerInnen!B313</f>
        <v>Finja</v>
      </c>
      <c r="C313" t="str">
        <f>SchülerInnen!E313</f>
        <v>finja.sartor@martinus-gymnasium.de</v>
      </c>
      <c r="D313">
        <f>SchülerInnen!F313</f>
        <v>11</v>
      </c>
      <c r="E313" t="str">
        <f t="shared" si="4"/>
        <v>Sartor;Finja;finja.sartor@martinus-gymnasium.de;11</v>
      </c>
    </row>
    <row r="314" spans="1:5" x14ac:dyDescent="0.2">
      <c r="A314" t="str">
        <f>SchülerInnen!A314</f>
        <v>Schmitz</v>
      </c>
      <c r="B314" t="str">
        <f>SchülerInnen!B314</f>
        <v>Carlotta Marit</v>
      </c>
      <c r="C314" t="str">
        <f>SchülerInnen!E314</f>
        <v>carlotta.marit.schmitz@martinus-gymnasium.de</v>
      </c>
      <c r="D314">
        <f>SchülerInnen!F314</f>
        <v>11</v>
      </c>
      <c r="E314" t="str">
        <f t="shared" si="4"/>
        <v>Schmitz;Carlotta Marit;carlotta.marit.schmitz@martinus-gymnasium.de;11</v>
      </c>
    </row>
    <row r="315" spans="1:5" x14ac:dyDescent="0.2">
      <c r="A315" t="str">
        <f>SchülerInnen!A315</f>
        <v>Schneider</v>
      </c>
      <c r="B315" t="str">
        <f>SchülerInnen!B315</f>
        <v>Sara Marie</v>
      </c>
      <c r="C315" t="str">
        <f>SchülerInnen!E315</f>
        <v>sara.marie.schneider@martinus-gymnasium.de</v>
      </c>
      <c r="D315">
        <f>SchülerInnen!F315</f>
        <v>11</v>
      </c>
      <c r="E315" t="str">
        <f t="shared" si="4"/>
        <v>Schneider;Sara Marie;sara.marie.schneider@martinus-gymnasium.de;11</v>
      </c>
    </row>
    <row r="316" spans="1:5" x14ac:dyDescent="0.2">
      <c r="A316" t="str">
        <f>SchülerInnen!A316</f>
        <v>Schnurr</v>
      </c>
      <c r="B316" t="str">
        <f>SchülerInnen!B316</f>
        <v>Isabel</v>
      </c>
      <c r="C316" t="str">
        <f>SchülerInnen!E316</f>
        <v>isabel.schnurr@martinus-gymnasium.de</v>
      </c>
      <c r="D316">
        <f>SchülerInnen!F316</f>
        <v>11</v>
      </c>
      <c r="E316" t="str">
        <f t="shared" si="4"/>
        <v>Schnurr;Isabel;isabel.schnurr@martinus-gymnasium.de;11</v>
      </c>
    </row>
    <row r="317" spans="1:5" x14ac:dyDescent="0.2">
      <c r="A317" t="str">
        <f>SchülerInnen!A317</f>
        <v>Schopp</v>
      </c>
      <c r="B317" t="str">
        <f>SchülerInnen!B317</f>
        <v>Lina</v>
      </c>
      <c r="C317" t="str">
        <f>SchülerInnen!E317</f>
        <v>lina.schopp@martinus-gymnasium.de</v>
      </c>
      <c r="D317">
        <f>SchülerInnen!F317</f>
        <v>11</v>
      </c>
      <c r="E317" t="str">
        <f t="shared" si="4"/>
        <v>Schopp;Lina;lina.schopp@martinus-gymnasium.de;11</v>
      </c>
    </row>
    <row r="318" spans="1:5" x14ac:dyDescent="0.2">
      <c r="A318" t="str">
        <f>SchülerInnen!A318</f>
        <v>Seidel</v>
      </c>
      <c r="B318" t="str">
        <f>SchülerInnen!B318</f>
        <v>Ngoc Vy</v>
      </c>
      <c r="C318" t="str">
        <f>SchülerInnen!E318</f>
        <v>ngoc.vy.seidel@martinus-gymnasium.de</v>
      </c>
      <c r="D318">
        <f>SchülerInnen!F318</f>
        <v>11</v>
      </c>
      <c r="E318" t="str">
        <f t="shared" si="4"/>
        <v>Seidel;Ngoc Vy;ngoc.vy.seidel@martinus-gymnasium.de;11</v>
      </c>
    </row>
    <row r="319" spans="1:5" x14ac:dyDescent="0.2">
      <c r="A319" t="str">
        <f>SchülerInnen!A319</f>
        <v>Splitt</v>
      </c>
      <c r="B319" t="str">
        <f>SchülerInnen!B319</f>
        <v>Emilie</v>
      </c>
      <c r="C319" t="str">
        <f>SchülerInnen!E319</f>
        <v>emilie.splitt@martinus-gymnasium.de</v>
      </c>
      <c r="D319">
        <f>SchülerInnen!F319</f>
        <v>11</v>
      </c>
      <c r="E319" t="str">
        <f t="shared" si="4"/>
        <v>Splitt;Emilie;emilie.splitt@martinus-gymnasium.de;11</v>
      </c>
    </row>
    <row r="320" spans="1:5" x14ac:dyDescent="0.2">
      <c r="A320" t="str">
        <f>SchülerInnen!A320</f>
        <v>Stahl</v>
      </c>
      <c r="B320" t="str">
        <f>SchülerInnen!B320</f>
        <v>Leonie</v>
      </c>
      <c r="C320" t="str">
        <f>SchülerInnen!E320</f>
        <v>leonie.stahl@martinus-gymnasium.de</v>
      </c>
      <c r="D320">
        <f>SchülerInnen!F320</f>
        <v>11</v>
      </c>
      <c r="E320" t="str">
        <f t="shared" si="4"/>
        <v>Stahl;Leonie;leonie.stahl@martinus-gymnasium.de;11</v>
      </c>
    </row>
    <row r="321" spans="1:5" x14ac:dyDescent="0.2">
      <c r="A321" t="str">
        <f>SchülerInnen!A321</f>
        <v>Stehle</v>
      </c>
      <c r="B321" t="str">
        <f>SchülerInnen!B321</f>
        <v>Kimberly</v>
      </c>
      <c r="C321" t="str">
        <f>SchülerInnen!E321</f>
        <v>kimberly.stehle@martinus-gymnasium.de</v>
      </c>
      <c r="D321">
        <f>SchülerInnen!F321</f>
        <v>11</v>
      </c>
      <c r="E321" t="str">
        <f t="shared" si="4"/>
        <v>Stehle;Kimberly;kimberly.stehle@martinus-gymnasium.de;11</v>
      </c>
    </row>
    <row r="322" spans="1:5" x14ac:dyDescent="0.2">
      <c r="A322" t="str">
        <f>SchülerInnen!A322</f>
        <v>Stockhausen</v>
      </c>
      <c r="B322" t="str">
        <f>SchülerInnen!B322</f>
        <v>Eric</v>
      </c>
      <c r="C322" t="str">
        <f>SchülerInnen!E322</f>
        <v>eric.stockhausen@martinus-gymnasium.de</v>
      </c>
      <c r="D322">
        <f>SchülerInnen!F322</f>
        <v>11</v>
      </c>
      <c r="E322" t="str">
        <f t="shared" si="4"/>
        <v>Stockhausen;Eric;eric.stockhausen@martinus-gymnasium.de;11</v>
      </c>
    </row>
    <row r="323" spans="1:5" x14ac:dyDescent="0.2">
      <c r="A323" t="str">
        <f>SchülerInnen!A323</f>
        <v>Trude</v>
      </c>
      <c r="B323" t="str">
        <f>SchülerInnen!B323</f>
        <v>Maximilian</v>
      </c>
      <c r="C323" t="str">
        <f>SchülerInnen!E323</f>
        <v>maximilian.trude@martinus-gymnasium.de</v>
      </c>
      <c r="D323">
        <f>SchülerInnen!F323</f>
        <v>11</v>
      </c>
      <c r="E323" t="str">
        <f t="shared" ref="E323:E386" si="5">_xlfn.TEXTJOIN(";",FALSE,A323:D323)</f>
        <v>Trude;Maximilian;maximilian.trude@martinus-gymnasium.de;11</v>
      </c>
    </row>
    <row r="324" spans="1:5" x14ac:dyDescent="0.2">
      <c r="A324" t="str">
        <f>SchülerInnen!A324</f>
        <v>Tschauner</v>
      </c>
      <c r="B324" t="str">
        <f>SchülerInnen!B324</f>
        <v>Maximilian</v>
      </c>
      <c r="C324" t="str">
        <f>SchülerInnen!E324</f>
        <v>maximilian.tschauner@martinus-gymnasium.de</v>
      </c>
      <c r="D324">
        <f>SchülerInnen!F324</f>
        <v>11</v>
      </c>
      <c r="E324" t="str">
        <f t="shared" si="5"/>
        <v>Tschauner;Maximilian;maximilian.tschauner@martinus-gymnasium.de;11</v>
      </c>
    </row>
    <row r="325" spans="1:5" x14ac:dyDescent="0.2">
      <c r="A325" t="str">
        <f>SchülerInnen!A325</f>
        <v>Wagner</v>
      </c>
      <c r="B325" t="str">
        <f>SchülerInnen!B325</f>
        <v>Ann-Sophie</v>
      </c>
      <c r="C325" t="str">
        <f>SchülerInnen!E325</f>
        <v>ann.sophie.wagner@martinus-gymnasium.de</v>
      </c>
      <c r="D325">
        <f>SchülerInnen!F325</f>
        <v>11</v>
      </c>
      <c r="E325" t="str">
        <f t="shared" si="5"/>
        <v>Wagner;Ann-Sophie;ann.sophie.wagner@martinus-gymnasium.de;11</v>
      </c>
    </row>
    <row r="326" spans="1:5" x14ac:dyDescent="0.2">
      <c r="A326" t="str">
        <f>SchülerInnen!A326</f>
        <v>Walker</v>
      </c>
      <c r="B326" t="str">
        <f>SchülerInnen!B326</f>
        <v>Clarissa Maria</v>
      </c>
      <c r="C326" t="str">
        <f>SchülerInnen!E326</f>
        <v>clarissa.maria.walker@martinus-gymnasium.de</v>
      </c>
      <c r="D326">
        <f>SchülerInnen!F326</f>
        <v>11</v>
      </c>
      <c r="E326" t="str">
        <f t="shared" si="5"/>
        <v>Walker;Clarissa Maria;clarissa.maria.walker@martinus-gymnasium.de;11</v>
      </c>
    </row>
    <row r="327" spans="1:5" x14ac:dyDescent="0.2">
      <c r="A327" t="str">
        <f>SchülerInnen!A327</f>
        <v>Wangkunklang</v>
      </c>
      <c r="B327" t="str">
        <f>SchülerInnen!B327</f>
        <v>Marisa</v>
      </c>
      <c r="C327" t="str">
        <f>SchülerInnen!E327</f>
        <v>marisa.wangkunklang@martinus-gymnasium.de</v>
      </c>
      <c r="D327">
        <f>SchülerInnen!F327</f>
        <v>11</v>
      </c>
      <c r="E327" t="str">
        <f t="shared" si="5"/>
        <v>Wangkunklang;Marisa;marisa.wangkunklang@martinus-gymnasium.de;11</v>
      </c>
    </row>
    <row r="328" spans="1:5" x14ac:dyDescent="0.2">
      <c r="A328" t="str">
        <f>SchülerInnen!A328</f>
        <v>Warjuschin</v>
      </c>
      <c r="B328" t="str">
        <f>SchülerInnen!B328</f>
        <v>Evelyn</v>
      </c>
      <c r="C328" t="str">
        <f>SchülerInnen!E328</f>
        <v>evelyn.warjuschin@martinus-gymnasium.de</v>
      </c>
      <c r="D328">
        <f>SchülerInnen!F328</f>
        <v>11</v>
      </c>
      <c r="E328" t="str">
        <f t="shared" si="5"/>
        <v>Warjuschin;Evelyn;evelyn.warjuschin@martinus-gymnasium.de;11</v>
      </c>
    </row>
    <row r="329" spans="1:5" x14ac:dyDescent="0.2">
      <c r="A329" t="str">
        <f>SchülerInnen!A329</f>
        <v>Warmth</v>
      </c>
      <c r="B329" t="str">
        <f>SchülerInnen!B329</f>
        <v>Marlene</v>
      </c>
      <c r="C329" t="str">
        <f>SchülerInnen!E329</f>
        <v>marlene.warmth@martinus-gymnasium.de</v>
      </c>
      <c r="D329">
        <f>SchülerInnen!F329</f>
        <v>11</v>
      </c>
      <c r="E329" t="str">
        <f t="shared" si="5"/>
        <v>Warmth;Marlene;marlene.warmth@martinus-gymnasium.de;11</v>
      </c>
    </row>
    <row r="330" spans="1:5" x14ac:dyDescent="0.2">
      <c r="A330" t="str">
        <f>SchülerInnen!A330</f>
        <v>Watts</v>
      </c>
      <c r="B330" t="str">
        <f>SchülerInnen!B330</f>
        <v>Erik Günther Hadrick</v>
      </c>
      <c r="C330" t="str">
        <f>SchülerInnen!E330</f>
        <v>erik.guenther.hadrick.watts@martinus-gymnasium.de</v>
      </c>
      <c r="D330">
        <f>SchülerInnen!F330</f>
        <v>11</v>
      </c>
      <c r="E330" t="str">
        <f t="shared" si="5"/>
        <v>Watts;Erik Günther Hadrick;erik.guenther.hadrick.watts@martinus-gymnasium.de;11</v>
      </c>
    </row>
    <row r="331" spans="1:5" x14ac:dyDescent="0.2">
      <c r="A331" t="str">
        <f>SchülerInnen!A331</f>
        <v>Weißenfels</v>
      </c>
      <c r="B331" t="str">
        <f>SchülerInnen!B331</f>
        <v>Matthias</v>
      </c>
      <c r="C331" t="str">
        <f>SchülerInnen!E331</f>
        <v>matthias.weissenfels@martinus-gymnasium.de</v>
      </c>
      <c r="D331">
        <f>SchülerInnen!F331</f>
        <v>11</v>
      </c>
      <c r="E331" t="str">
        <f t="shared" si="5"/>
        <v>Weißenfels;Matthias;matthias.weissenfels@martinus-gymnasium.de;11</v>
      </c>
    </row>
    <row r="332" spans="1:5" x14ac:dyDescent="0.2">
      <c r="A332" t="str">
        <f>SchülerInnen!A332</f>
        <v>Willscheid</v>
      </c>
      <c r="B332" t="str">
        <f>SchülerInnen!B332</f>
        <v>Miriam</v>
      </c>
      <c r="C332" t="str">
        <f>SchülerInnen!E332</f>
        <v>miriam.willscheid@martinus-gymnasium.de</v>
      </c>
      <c r="D332">
        <f>SchülerInnen!F332</f>
        <v>11</v>
      </c>
      <c r="E332" t="str">
        <f t="shared" si="5"/>
        <v>Willscheid;Miriam;miriam.willscheid@martinus-gymnasium.de;11</v>
      </c>
    </row>
    <row r="333" spans="1:5" x14ac:dyDescent="0.2">
      <c r="A333" t="str">
        <f>SchülerInnen!A333</f>
        <v>Wotzke</v>
      </c>
      <c r="B333" t="str">
        <f>SchülerInnen!B333</f>
        <v>Maya</v>
      </c>
      <c r="C333" t="str">
        <f>SchülerInnen!E333</f>
        <v>maya.wotzke@martinus-gymnasium.de</v>
      </c>
      <c r="D333">
        <f>SchülerInnen!F333</f>
        <v>11</v>
      </c>
      <c r="E333" t="str">
        <f t="shared" si="5"/>
        <v>Wotzke;Maya;maya.wotzke@martinus-gymnasium.de;11</v>
      </c>
    </row>
    <row r="334" spans="1:5" x14ac:dyDescent="0.2">
      <c r="A334" t="str">
        <f>SchülerInnen!A334</f>
        <v>Yaldir</v>
      </c>
      <c r="B334" t="str">
        <f>SchülerInnen!B334</f>
        <v>Mert-Alim</v>
      </c>
      <c r="C334" t="str">
        <f>SchülerInnen!E334</f>
        <v>mert.alim.yaldir@martinus-gymnasium.de</v>
      </c>
      <c r="D334">
        <f>SchülerInnen!F334</f>
        <v>11</v>
      </c>
      <c r="E334" t="str">
        <f t="shared" si="5"/>
        <v>Yaldir;Mert-Alim;mert.alim.yaldir@martinus-gymnasium.de;11</v>
      </c>
    </row>
    <row r="335" spans="1:5" x14ac:dyDescent="0.2">
      <c r="A335" t="str">
        <f>SchülerInnen!A335</f>
        <v>Zeiler</v>
      </c>
      <c r="B335" t="str">
        <f>SchülerInnen!B335</f>
        <v>Mariko Sophia</v>
      </c>
      <c r="C335" t="str">
        <f>SchülerInnen!E335</f>
        <v>mariko.sophia.zeiler@martinus-gymnasium.de</v>
      </c>
      <c r="D335">
        <f>SchülerInnen!F335</f>
        <v>11</v>
      </c>
      <c r="E335" t="str">
        <f t="shared" si="5"/>
        <v>Zeiler;Mariko Sophia;mariko.sophia.zeiler@martinus-gymnasium.de;11</v>
      </c>
    </row>
    <row r="336" spans="1:5" x14ac:dyDescent="0.2">
      <c r="A336" t="str">
        <f>SchülerInnen!A336</f>
        <v>Zeqa</v>
      </c>
      <c r="B336" t="str">
        <f>SchülerInnen!B336</f>
        <v>Nderon</v>
      </c>
      <c r="C336" t="str">
        <f>SchülerInnen!E336</f>
        <v>nderon.zeqa@martinus-gymnasium.de</v>
      </c>
      <c r="D336">
        <f>SchülerInnen!F336</f>
        <v>11</v>
      </c>
      <c r="E336" t="str">
        <f t="shared" si="5"/>
        <v>Zeqa;Nderon;nderon.zeqa@martinus-gymnasium.de;11</v>
      </c>
    </row>
    <row r="337" spans="1:5" x14ac:dyDescent="0.2">
      <c r="A337" t="str">
        <f>SchülerInnen!A337</f>
        <v>Apel</v>
      </c>
      <c r="B337" t="str">
        <f>SchülerInnen!B337</f>
        <v>Dana</v>
      </c>
      <c r="C337" t="str">
        <f>SchülerInnen!E337</f>
        <v>dana.apel@martinus-gymnasium.de</v>
      </c>
      <c r="D337">
        <f>SchülerInnen!F337</f>
        <v>12</v>
      </c>
      <c r="E337" t="str">
        <f t="shared" si="5"/>
        <v>Apel;Dana;dana.apel@martinus-gymnasium.de;12</v>
      </c>
    </row>
    <row r="338" spans="1:5" x14ac:dyDescent="0.2">
      <c r="A338" t="str">
        <f>SchülerInnen!A338</f>
        <v>Babaliga</v>
      </c>
      <c r="B338" t="str">
        <f>SchülerInnen!B338</f>
        <v>Cosmin</v>
      </c>
      <c r="C338" t="str">
        <f>SchülerInnen!E338</f>
        <v>cosmin.babaliga@martinus-gymnasium.de</v>
      </c>
      <c r="D338">
        <f>SchülerInnen!F338</f>
        <v>12</v>
      </c>
      <c r="E338" t="str">
        <f t="shared" si="5"/>
        <v>Babaliga;Cosmin;cosmin.babaliga@martinus-gymnasium.de;12</v>
      </c>
    </row>
    <row r="339" spans="1:5" x14ac:dyDescent="0.2">
      <c r="A339" t="str">
        <f>SchülerInnen!A339</f>
        <v>Bock</v>
      </c>
      <c r="B339" t="str">
        <f>SchülerInnen!B339</f>
        <v>Hannah</v>
      </c>
      <c r="C339" t="str">
        <f>SchülerInnen!E339</f>
        <v>hannah.bock@martinus-gymnasium.de</v>
      </c>
      <c r="D339">
        <f>SchülerInnen!F339</f>
        <v>12</v>
      </c>
      <c r="E339" t="str">
        <f t="shared" si="5"/>
        <v>Bock;Hannah;hannah.bock@martinus-gymnasium.de;12</v>
      </c>
    </row>
    <row r="340" spans="1:5" x14ac:dyDescent="0.2">
      <c r="A340" t="str">
        <f>SchülerInnen!A340</f>
        <v>Caglar</v>
      </c>
      <c r="B340" t="str">
        <f>SchülerInnen!B340</f>
        <v>Ceylin</v>
      </c>
      <c r="C340" t="str">
        <f>SchülerInnen!E340</f>
        <v>ceylin.caglar@martinus-gymnasium.de</v>
      </c>
      <c r="D340">
        <f>SchülerInnen!F340</f>
        <v>12</v>
      </c>
      <c r="E340" t="str">
        <f t="shared" si="5"/>
        <v>Caglar;Ceylin;ceylin.caglar@martinus-gymnasium.de;12</v>
      </c>
    </row>
    <row r="341" spans="1:5" x14ac:dyDescent="0.2">
      <c r="A341" t="str">
        <f>SchülerInnen!A341</f>
        <v>Can</v>
      </c>
      <c r="B341" t="str">
        <f>SchülerInnen!B341</f>
        <v>Cagatay</v>
      </c>
      <c r="C341" t="str">
        <f>SchülerInnen!E341</f>
        <v>cagatay.can@martinus-gymnasium.de</v>
      </c>
      <c r="D341">
        <f>SchülerInnen!F341</f>
        <v>12</v>
      </c>
      <c r="E341" t="str">
        <f t="shared" si="5"/>
        <v>Can;Cagatay;cagatay.can@martinus-gymnasium.de;12</v>
      </c>
    </row>
    <row r="342" spans="1:5" x14ac:dyDescent="0.2">
      <c r="A342" t="str">
        <f>SchülerInnen!A342</f>
        <v>Carmona Rodriguez</v>
      </c>
      <c r="B342" t="str">
        <f>SchülerInnen!B342</f>
        <v>Leonie</v>
      </c>
      <c r="C342" t="str">
        <f>SchülerInnen!E342</f>
        <v>leonie.carmona.rodriguez@martinus-gymnasium.de</v>
      </c>
      <c r="D342">
        <f>SchülerInnen!F342</f>
        <v>12</v>
      </c>
      <c r="E342" t="str">
        <f t="shared" si="5"/>
        <v>Carmona Rodriguez;Leonie;leonie.carmona.rodriguez@martinus-gymnasium.de;12</v>
      </c>
    </row>
    <row r="343" spans="1:5" x14ac:dyDescent="0.2">
      <c r="A343" t="str">
        <f>SchülerInnen!A343</f>
        <v>Ciancia</v>
      </c>
      <c r="B343" t="str">
        <f>SchülerInnen!B343</f>
        <v>Valentina</v>
      </c>
      <c r="C343" t="str">
        <f>SchülerInnen!E343</f>
        <v>valentina.ciancia@martinus-gymnasium.de</v>
      </c>
      <c r="D343">
        <f>SchülerInnen!F343</f>
        <v>12</v>
      </c>
      <c r="E343" t="str">
        <f t="shared" si="5"/>
        <v>Ciancia;Valentina;valentina.ciancia@martinus-gymnasium.de;12</v>
      </c>
    </row>
    <row r="344" spans="1:5" x14ac:dyDescent="0.2">
      <c r="A344" t="str">
        <f>SchülerInnen!A344</f>
        <v>Debus</v>
      </c>
      <c r="B344" t="str">
        <f>SchülerInnen!B344</f>
        <v>Lion</v>
      </c>
      <c r="C344" t="str">
        <f>SchülerInnen!E344</f>
        <v>lion.debus@martinus-gymnasium.de</v>
      </c>
      <c r="D344">
        <f>SchülerInnen!F344</f>
        <v>12</v>
      </c>
      <c r="E344" t="str">
        <f t="shared" si="5"/>
        <v>Debus;Lion;lion.debus@martinus-gymnasium.de;12</v>
      </c>
    </row>
    <row r="345" spans="1:5" x14ac:dyDescent="0.2">
      <c r="A345" t="str">
        <f>SchülerInnen!A345</f>
        <v>Dick</v>
      </c>
      <c r="B345" t="str">
        <f>SchülerInnen!B345</f>
        <v>Sophie</v>
      </c>
      <c r="C345" t="str">
        <f>SchülerInnen!E345</f>
        <v>sophie.dick@martinus-gymnasium.de</v>
      </c>
      <c r="D345">
        <f>SchülerInnen!F345</f>
        <v>12</v>
      </c>
      <c r="E345" t="str">
        <f t="shared" si="5"/>
        <v>Dick;Sophie;sophie.dick@martinus-gymnasium.de;12</v>
      </c>
    </row>
    <row r="346" spans="1:5" x14ac:dyDescent="0.2">
      <c r="A346" t="str">
        <f>SchülerInnen!A346</f>
        <v>Emmel</v>
      </c>
      <c r="B346" t="str">
        <f>SchülerInnen!B346</f>
        <v>Kian</v>
      </c>
      <c r="C346" t="str">
        <f>SchülerInnen!E346</f>
        <v>kian.emmel@martinus-gymnasium.de</v>
      </c>
      <c r="D346">
        <f>SchülerInnen!F346</f>
        <v>12</v>
      </c>
      <c r="E346" t="str">
        <f t="shared" si="5"/>
        <v>Emmel;Kian;kian.emmel@martinus-gymnasium.de;12</v>
      </c>
    </row>
    <row r="347" spans="1:5" x14ac:dyDescent="0.2">
      <c r="A347" t="str">
        <f>SchülerInnen!A347</f>
        <v>Ergin</v>
      </c>
      <c r="B347" t="str">
        <f>SchülerInnen!B347</f>
        <v>Laser</v>
      </c>
      <c r="C347" t="str">
        <f>SchülerInnen!E347</f>
        <v>laser.ergin@martinus-gymnasium.de</v>
      </c>
      <c r="D347">
        <f>SchülerInnen!F347</f>
        <v>12</v>
      </c>
      <c r="E347" t="str">
        <f t="shared" si="5"/>
        <v>Ergin;Laser;laser.ergin@martinus-gymnasium.de;12</v>
      </c>
    </row>
    <row r="348" spans="1:5" x14ac:dyDescent="0.2">
      <c r="A348" t="str">
        <f>SchülerInnen!A348</f>
        <v>Freiseis</v>
      </c>
      <c r="B348" t="str">
        <f>SchülerInnen!B348</f>
        <v>Luca</v>
      </c>
      <c r="C348" t="str">
        <f>SchülerInnen!E348</f>
        <v>luca.freiseis@martinus-gymnasium.de</v>
      </c>
      <c r="D348">
        <f>SchülerInnen!F348</f>
        <v>12</v>
      </c>
      <c r="E348" t="str">
        <f t="shared" si="5"/>
        <v>Freiseis;Luca;luca.freiseis@martinus-gymnasium.de;12</v>
      </c>
    </row>
    <row r="349" spans="1:5" x14ac:dyDescent="0.2">
      <c r="A349" t="str">
        <f>SchülerInnen!A349</f>
        <v>Frerk</v>
      </c>
      <c r="B349" t="str">
        <f>SchülerInnen!B349</f>
        <v>Mia</v>
      </c>
      <c r="C349" t="str">
        <f>SchülerInnen!E349</f>
        <v>mia.frerk@martinus-gymnasium.de</v>
      </c>
      <c r="D349">
        <f>SchülerInnen!F349</f>
        <v>12</v>
      </c>
      <c r="E349" t="str">
        <f t="shared" si="5"/>
        <v>Frerk;Mia;mia.frerk@martinus-gymnasium.de;12</v>
      </c>
    </row>
    <row r="350" spans="1:5" x14ac:dyDescent="0.2">
      <c r="A350" t="str">
        <f>SchülerInnen!A350</f>
        <v>Fritzen</v>
      </c>
      <c r="B350" t="str">
        <f>SchülerInnen!B350</f>
        <v>Jonas</v>
      </c>
      <c r="C350" t="str">
        <f>SchülerInnen!E350</f>
        <v>jonas.fritzen@martinus-gymnasium.de</v>
      </c>
      <c r="D350">
        <f>SchülerInnen!F350</f>
        <v>12</v>
      </c>
      <c r="E350" t="str">
        <f t="shared" si="5"/>
        <v>Fritzen;Jonas;jonas.fritzen@martinus-gymnasium.de;12</v>
      </c>
    </row>
    <row r="351" spans="1:5" x14ac:dyDescent="0.2">
      <c r="A351" t="str">
        <f>SchülerInnen!A351</f>
        <v>Gashi</v>
      </c>
      <c r="B351" t="str">
        <f>SchülerInnen!B351</f>
        <v>Elian</v>
      </c>
      <c r="C351" t="str">
        <f>SchülerInnen!E351</f>
        <v>elian.gashi@martinus-gymnasium.de</v>
      </c>
      <c r="D351">
        <f>SchülerInnen!F351</f>
        <v>12</v>
      </c>
      <c r="E351" t="str">
        <f t="shared" si="5"/>
        <v>Gashi;Elian;elian.gashi@martinus-gymnasium.de;12</v>
      </c>
    </row>
    <row r="352" spans="1:5" x14ac:dyDescent="0.2">
      <c r="A352" t="str">
        <f>SchülerInnen!A352</f>
        <v>Glätzner</v>
      </c>
      <c r="B352" t="str">
        <f>SchülerInnen!B352</f>
        <v>Anna</v>
      </c>
      <c r="C352" t="str">
        <f>SchülerInnen!E352</f>
        <v>anna.glaetzner@martinus-gymnasium.de</v>
      </c>
      <c r="D352">
        <f>SchülerInnen!F352</f>
        <v>12</v>
      </c>
      <c r="E352" t="str">
        <f t="shared" si="5"/>
        <v>Glätzner;Anna;anna.glaetzner@martinus-gymnasium.de;12</v>
      </c>
    </row>
    <row r="353" spans="1:5" x14ac:dyDescent="0.2">
      <c r="A353" t="str">
        <f>SchülerInnen!A353</f>
        <v>Grewe</v>
      </c>
      <c r="B353" t="str">
        <f>SchülerInnen!B353</f>
        <v>Caroline</v>
      </c>
      <c r="C353" t="str">
        <f>SchülerInnen!E353</f>
        <v>caroline.grewe@martinus-gymnasium.de</v>
      </c>
      <c r="D353">
        <f>SchülerInnen!F353</f>
        <v>12</v>
      </c>
      <c r="E353" t="str">
        <f t="shared" si="5"/>
        <v>Grewe;Caroline;caroline.grewe@martinus-gymnasium.de;12</v>
      </c>
    </row>
    <row r="354" spans="1:5" x14ac:dyDescent="0.2">
      <c r="A354" t="str">
        <f>SchülerInnen!A354</f>
        <v>Gummersbach</v>
      </c>
      <c r="B354" t="str">
        <f>SchülerInnen!B354</f>
        <v>Jana</v>
      </c>
      <c r="C354" t="str">
        <f>SchülerInnen!E354</f>
        <v>jana.gummersbach@martinus-gymnasium.de</v>
      </c>
      <c r="D354">
        <f>SchülerInnen!F354</f>
        <v>12</v>
      </c>
      <c r="E354" t="str">
        <f t="shared" si="5"/>
        <v>Gummersbach;Jana;jana.gummersbach@martinus-gymnasium.de;12</v>
      </c>
    </row>
    <row r="355" spans="1:5" x14ac:dyDescent="0.2">
      <c r="A355" t="str">
        <f>SchülerInnen!A355</f>
        <v>Habel</v>
      </c>
      <c r="B355" t="str">
        <f>SchülerInnen!B355</f>
        <v>Lea</v>
      </c>
      <c r="C355" t="str">
        <f>SchülerInnen!E355</f>
        <v>lea.habel@martinus-gymnasium.de</v>
      </c>
      <c r="D355">
        <f>SchülerInnen!F355</f>
        <v>12</v>
      </c>
      <c r="E355" t="str">
        <f t="shared" si="5"/>
        <v>Habel;Lea;lea.habel@martinus-gymnasium.de;12</v>
      </c>
    </row>
    <row r="356" spans="1:5" x14ac:dyDescent="0.2">
      <c r="A356" t="str">
        <f>SchülerInnen!A356</f>
        <v>Hafner</v>
      </c>
      <c r="B356" t="str">
        <f>SchülerInnen!B356</f>
        <v>Julia</v>
      </c>
      <c r="C356" t="str">
        <f>SchülerInnen!E356</f>
        <v>julia.hafner@martinus-gymnasium.de</v>
      </c>
      <c r="D356">
        <f>SchülerInnen!F356</f>
        <v>12</v>
      </c>
      <c r="E356" t="str">
        <f t="shared" si="5"/>
        <v>Hafner;Julia;julia.hafner@martinus-gymnasium.de;12</v>
      </c>
    </row>
    <row r="357" spans="1:5" x14ac:dyDescent="0.2">
      <c r="A357" t="str">
        <f>SchülerInnen!A357</f>
        <v>Hasanaj</v>
      </c>
      <c r="B357" t="str">
        <f>SchülerInnen!B357</f>
        <v>Benet</v>
      </c>
      <c r="C357" t="str">
        <f>SchülerInnen!E357</f>
        <v>benet.hasanaj@martinus-gymnasium.de</v>
      </c>
      <c r="D357">
        <f>SchülerInnen!F357</f>
        <v>12</v>
      </c>
      <c r="E357" t="str">
        <f t="shared" si="5"/>
        <v>Hasanaj;Benet;benet.hasanaj@martinus-gymnasium.de;12</v>
      </c>
    </row>
    <row r="358" spans="1:5" x14ac:dyDescent="0.2">
      <c r="A358" t="str">
        <f>SchülerInnen!A358</f>
        <v>Hecken</v>
      </c>
      <c r="B358" t="str">
        <f>SchülerInnen!B358</f>
        <v>Mina</v>
      </c>
      <c r="C358" t="str">
        <f>SchülerInnen!E358</f>
        <v>mina.hecken@martinus-gymnasium.de</v>
      </c>
      <c r="D358">
        <f>SchülerInnen!F358</f>
        <v>12</v>
      </c>
      <c r="E358" t="str">
        <f t="shared" si="5"/>
        <v>Hecken;Mina;mina.hecken@martinus-gymnasium.de;12</v>
      </c>
    </row>
    <row r="359" spans="1:5" x14ac:dyDescent="0.2">
      <c r="A359" t="str">
        <f>SchülerInnen!A359</f>
        <v>Henze</v>
      </c>
      <c r="B359" t="str">
        <f>SchülerInnen!B359</f>
        <v>Marc</v>
      </c>
      <c r="C359" t="str">
        <f>SchülerInnen!E359</f>
        <v>marc.henze@martinus-gymnasium.de</v>
      </c>
      <c r="D359">
        <f>SchülerInnen!F359</f>
        <v>12</v>
      </c>
      <c r="E359" t="str">
        <f t="shared" si="5"/>
        <v>Henze;Marc;marc.henze@martinus-gymnasium.de;12</v>
      </c>
    </row>
    <row r="360" spans="1:5" x14ac:dyDescent="0.2">
      <c r="A360" t="str">
        <f>SchülerInnen!A360</f>
        <v>Hofmann</v>
      </c>
      <c r="B360" t="str">
        <f>SchülerInnen!B360</f>
        <v>Sophie Pay</v>
      </c>
      <c r="C360" t="str">
        <f>SchülerInnen!E360</f>
        <v>sophie.pay.hofmann@martinus-gymnasium.de</v>
      </c>
      <c r="D360">
        <f>SchülerInnen!F360</f>
        <v>12</v>
      </c>
      <c r="E360" t="str">
        <f t="shared" si="5"/>
        <v>Hofmann;Sophie Pay;sophie.pay.hofmann@martinus-gymnasium.de;12</v>
      </c>
    </row>
    <row r="361" spans="1:5" x14ac:dyDescent="0.2">
      <c r="A361" t="str">
        <f>SchülerInnen!A361</f>
        <v>Islamovic</v>
      </c>
      <c r="B361" t="str">
        <f>SchülerInnen!B361</f>
        <v>Adina</v>
      </c>
      <c r="C361" t="str">
        <f>SchülerInnen!E361</f>
        <v>adina.islamovic@martinus-gymnasium.de</v>
      </c>
      <c r="D361">
        <f>SchülerInnen!F361</f>
        <v>12</v>
      </c>
      <c r="E361" t="str">
        <f t="shared" si="5"/>
        <v>Islamovic;Adina;adina.islamovic@martinus-gymnasium.de;12</v>
      </c>
    </row>
    <row r="362" spans="1:5" x14ac:dyDescent="0.2">
      <c r="A362" t="str">
        <f>SchülerInnen!A362</f>
        <v>Jirowetz</v>
      </c>
      <c r="B362" t="str">
        <f>SchülerInnen!B362</f>
        <v>Philip</v>
      </c>
      <c r="C362" t="str">
        <f>SchülerInnen!E362</f>
        <v>philip.jirowetz@martinus-gymnasium.de</v>
      </c>
      <c r="D362">
        <f>SchülerInnen!F362</f>
        <v>12</v>
      </c>
      <c r="E362" t="str">
        <f t="shared" si="5"/>
        <v>Jirowetz;Philip;philip.jirowetz@martinus-gymnasium.de;12</v>
      </c>
    </row>
    <row r="363" spans="1:5" x14ac:dyDescent="0.2">
      <c r="A363" t="str">
        <f>SchülerInnen!A363</f>
        <v>Jodl</v>
      </c>
      <c r="B363" t="str">
        <f>SchülerInnen!B363</f>
        <v>Eva</v>
      </c>
      <c r="C363" t="str">
        <f>SchülerInnen!E363</f>
        <v>eva.jodl@martinus-gymnasium.de</v>
      </c>
      <c r="D363">
        <f>SchülerInnen!F363</f>
        <v>12</v>
      </c>
      <c r="E363" t="str">
        <f t="shared" si="5"/>
        <v>Jodl;Eva;eva.jodl@martinus-gymnasium.de;12</v>
      </c>
    </row>
    <row r="364" spans="1:5" x14ac:dyDescent="0.2">
      <c r="A364" t="str">
        <f>SchülerInnen!A364</f>
        <v>Jodl</v>
      </c>
      <c r="B364" t="str">
        <f>SchülerInnen!B364</f>
        <v>Franziska</v>
      </c>
      <c r="C364" t="str">
        <f>SchülerInnen!E364</f>
        <v>franziska.jodl@martinus-gymnasium.de</v>
      </c>
      <c r="D364">
        <f>SchülerInnen!F364</f>
        <v>12</v>
      </c>
      <c r="E364" t="str">
        <f t="shared" si="5"/>
        <v>Jodl;Franziska;franziska.jodl@martinus-gymnasium.de;12</v>
      </c>
    </row>
    <row r="365" spans="1:5" x14ac:dyDescent="0.2">
      <c r="A365" t="str">
        <f>SchülerInnen!A365</f>
        <v>Jütte</v>
      </c>
      <c r="B365" t="str">
        <f>SchülerInnen!B365</f>
        <v>Fabian</v>
      </c>
      <c r="C365" t="str">
        <f>SchülerInnen!E365</f>
        <v>fabian.juette@martinus-gymnasium.de</v>
      </c>
      <c r="D365">
        <f>SchülerInnen!F365</f>
        <v>12</v>
      </c>
      <c r="E365" t="str">
        <f t="shared" si="5"/>
        <v>Jütte;Fabian;fabian.juette@martinus-gymnasium.de;12</v>
      </c>
    </row>
    <row r="366" spans="1:5" x14ac:dyDescent="0.2">
      <c r="A366" t="str">
        <f>SchülerInnen!A366</f>
        <v>Kaminski</v>
      </c>
      <c r="B366" t="str">
        <f>SchülerInnen!B366</f>
        <v>Johanna</v>
      </c>
      <c r="C366" t="str">
        <f>SchülerInnen!E366</f>
        <v>johanna.kaminski@martinus-gymnasium.de</v>
      </c>
      <c r="D366">
        <f>SchülerInnen!F366</f>
        <v>12</v>
      </c>
      <c r="E366" t="str">
        <f t="shared" si="5"/>
        <v>Kaminski;Johanna;johanna.kaminski@martinus-gymnasium.de;12</v>
      </c>
    </row>
    <row r="367" spans="1:5" x14ac:dyDescent="0.2">
      <c r="A367" t="str">
        <f>SchülerInnen!A367</f>
        <v>Kauferstein</v>
      </c>
      <c r="B367" t="str">
        <f>SchülerInnen!B367</f>
        <v>Mia</v>
      </c>
      <c r="C367" t="str">
        <f>SchülerInnen!E367</f>
        <v>mia.kauferstein@martinus-gymnasium.de</v>
      </c>
      <c r="D367">
        <f>SchülerInnen!F367</f>
        <v>12</v>
      </c>
      <c r="E367" t="str">
        <f t="shared" si="5"/>
        <v>Kauferstein;Mia;mia.kauferstein@martinus-gymnasium.de;12</v>
      </c>
    </row>
    <row r="368" spans="1:5" x14ac:dyDescent="0.2">
      <c r="A368" t="str">
        <f>SchülerInnen!A368</f>
        <v>Klein</v>
      </c>
      <c r="B368" t="str">
        <f>SchülerInnen!B368</f>
        <v>Tobias</v>
      </c>
      <c r="C368" t="str">
        <f>SchülerInnen!E368</f>
        <v>tobias.klein@martinus-gymnasium.de</v>
      </c>
      <c r="D368">
        <f>SchülerInnen!F368</f>
        <v>12</v>
      </c>
      <c r="E368" t="str">
        <f t="shared" si="5"/>
        <v>Klein;Tobias;tobias.klein@martinus-gymnasium.de;12</v>
      </c>
    </row>
    <row r="369" spans="1:5" x14ac:dyDescent="0.2">
      <c r="A369" t="str">
        <f>SchülerInnen!A369</f>
        <v>Klescher</v>
      </c>
      <c r="B369" t="str">
        <f>SchülerInnen!B369</f>
        <v>Joline</v>
      </c>
      <c r="C369" t="str">
        <f>SchülerInnen!E369</f>
        <v>joline.klescher@martinus-gymnasium.de</v>
      </c>
      <c r="D369">
        <f>SchülerInnen!F369</f>
        <v>12</v>
      </c>
      <c r="E369" t="str">
        <f t="shared" si="5"/>
        <v>Klescher;Joline;joline.klescher@martinus-gymnasium.de;12</v>
      </c>
    </row>
    <row r="370" spans="1:5" x14ac:dyDescent="0.2">
      <c r="A370" t="str">
        <f>SchülerInnen!A370</f>
        <v>Kossmann</v>
      </c>
      <c r="B370" t="str">
        <f>SchülerInnen!B370</f>
        <v>Philipp Lennart</v>
      </c>
      <c r="C370" t="str">
        <f>SchülerInnen!E370</f>
        <v>philipp.lennart.kossmann@martinus-gymnasium.de</v>
      </c>
      <c r="D370">
        <f>SchülerInnen!F370</f>
        <v>12</v>
      </c>
      <c r="E370" t="str">
        <f t="shared" si="5"/>
        <v>Kossmann;Philipp Lennart;philipp.lennart.kossmann@martinus-gymnasium.de;12</v>
      </c>
    </row>
    <row r="371" spans="1:5" x14ac:dyDescent="0.2">
      <c r="A371" t="str">
        <f>SchülerInnen!A371</f>
        <v>Kouraichi</v>
      </c>
      <c r="B371" t="str">
        <f>SchülerInnen!B371</f>
        <v>Zainab</v>
      </c>
      <c r="C371" t="str">
        <f>SchülerInnen!E371</f>
        <v>zainab.kouraichi@martinus-gymnasium.de</v>
      </c>
      <c r="D371">
        <f>SchülerInnen!F371</f>
        <v>12</v>
      </c>
      <c r="E371" t="str">
        <f t="shared" si="5"/>
        <v>Kouraichi;Zainab;zainab.kouraichi@martinus-gymnasium.de;12</v>
      </c>
    </row>
    <row r="372" spans="1:5" x14ac:dyDescent="0.2">
      <c r="A372" t="str">
        <f>SchülerInnen!A372</f>
        <v>Koyuncu</v>
      </c>
      <c r="B372" t="str">
        <f>SchülerInnen!B372</f>
        <v>Zozan</v>
      </c>
      <c r="C372" t="str">
        <f>SchülerInnen!E372</f>
        <v>zozan.koyuncu@martinus-gymnasium.de</v>
      </c>
      <c r="D372">
        <f>SchülerInnen!F372</f>
        <v>12</v>
      </c>
      <c r="E372" t="str">
        <f t="shared" si="5"/>
        <v>Koyuncu;Zozan;zozan.koyuncu@martinus-gymnasium.de;12</v>
      </c>
    </row>
    <row r="373" spans="1:5" x14ac:dyDescent="0.2">
      <c r="A373" t="str">
        <f>SchülerInnen!A373</f>
        <v>Kuqi</v>
      </c>
      <c r="B373" t="str">
        <f>SchülerInnen!B373</f>
        <v>Leonit</v>
      </c>
      <c r="C373" t="str">
        <f>SchülerInnen!E373</f>
        <v>leonit.kuqi@martinus-gymnasium.de</v>
      </c>
      <c r="D373">
        <f>SchülerInnen!F373</f>
        <v>12</v>
      </c>
      <c r="E373" t="str">
        <f t="shared" si="5"/>
        <v>Kuqi;Leonit;leonit.kuqi@martinus-gymnasium.de;12</v>
      </c>
    </row>
    <row r="374" spans="1:5" x14ac:dyDescent="0.2">
      <c r="A374" t="str">
        <f>SchülerInnen!A374</f>
        <v>Lange</v>
      </c>
      <c r="B374" t="str">
        <f>SchülerInnen!B374</f>
        <v>Yuna Amélie</v>
      </c>
      <c r="C374" t="str">
        <f>SchülerInnen!E374</f>
        <v>yuna.amelie.lange@martinus-gymnasium.de</v>
      </c>
      <c r="D374">
        <f>SchülerInnen!F374</f>
        <v>12</v>
      </c>
      <c r="E374" t="str">
        <f t="shared" si="5"/>
        <v>Lange;Yuna Amélie;yuna.amelie.lange@martinus-gymnasium.de;12</v>
      </c>
    </row>
    <row r="375" spans="1:5" x14ac:dyDescent="0.2">
      <c r="A375" t="str">
        <f>SchülerInnen!A375</f>
        <v>Lecher</v>
      </c>
      <c r="B375" t="str">
        <f>SchülerInnen!B375</f>
        <v>Ruben Fynn</v>
      </c>
      <c r="C375" t="str">
        <f>SchülerInnen!E375</f>
        <v>ruben.fynn.lecher@martinus-gymnasium.de</v>
      </c>
      <c r="D375">
        <f>SchülerInnen!F375</f>
        <v>12</v>
      </c>
      <c r="E375" t="str">
        <f t="shared" si="5"/>
        <v>Lecher;Ruben Fynn;ruben.fynn.lecher@martinus-gymnasium.de;12</v>
      </c>
    </row>
    <row r="376" spans="1:5" x14ac:dyDescent="0.2">
      <c r="A376" t="str">
        <f>SchülerInnen!A376</f>
        <v>Meixner</v>
      </c>
      <c r="B376" t="str">
        <f>SchülerInnen!B376</f>
        <v>Dominik Jonathan</v>
      </c>
      <c r="C376" t="str">
        <f>SchülerInnen!E376</f>
        <v>dominik.jonathan.meixner@martinus-gymnasium.de</v>
      </c>
      <c r="D376">
        <f>SchülerInnen!F376</f>
        <v>12</v>
      </c>
      <c r="E376" t="str">
        <f t="shared" si="5"/>
        <v>Meixner;Dominik Jonathan;dominik.jonathan.meixner@martinus-gymnasium.de;12</v>
      </c>
    </row>
    <row r="377" spans="1:5" x14ac:dyDescent="0.2">
      <c r="A377" t="str">
        <f>SchülerInnen!A377</f>
        <v>Meller</v>
      </c>
      <c r="B377" t="str">
        <f>SchülerInnen!B377</f>
        <v>Jens Christian</v>
      </c>
      <c r="C377" t="str">
        <f>SchülerInnen!E377</f>
        <v>jens.christian.meller@martinus-gymnasium.de</v>
      </c>
      <c r="D377">
        <f>SchülerInnen!F377</f>
        <v>12</v>
      </c>
      <c r="E377" t="str">
        <f t="shared" si="5"/>
        <v>Meller;Jens Christian;jens.christian.meller@martinus-gymnasium.de;12</v>
      </c>
    </row>
    <row r="378" spans="1:5" x14ac:dyDescent="0.2">
      <c r="A378" t="str">
        <f>SchülerInnen!A378</f>
        <v>Mendykowski</v>
      </c>
      <c r="B378" t="str">
        <f>SchülerInnen!B378</f>
        <v>Mateusz</v>
      </c>
      <c r="C378" t="str">
        <f>SchülerInnen!E378</f>
        <v>mateusz.mendykowski@martinus-gymnasium.de</v>
      </c>
      <c r="D378">
        <f>SchülerInnen!F378</f>
        <v>12</v>
      </c>
      <c r="E378" t="str">
        <f t="shared" si="5"/>
        <v>Mendykowski;Mateusz;mateusz.mendykowski@martinus-gymnasium.de;12</v>
      </c>
    </row>
    <row r="379" spans="1:5" x14ac:dyDescent="0.2">
      <c r="A379" t="str">
        <f>SchülerInnen!A379</f>
        <v>Moll</v>
      </c>
      <c r="B379" t="str">
        <f>SchülerInnen!B379</f>
        <v>Anneke</v>
      </c>
      <c r="C379" t="str">
        <f>SchülerInnen!E379</f>
        <v>anneke.moll@martinus-gymnasium.de</v>
      </c>
      <c r="D379">
        <f>SchülerInnen!F379</f>
        <v>12</v>
      </c>
      <c r="E379" t="str">
        <f t="shared" si="5"/>
        <v>Moll;Anneke;anneke.moll@martinus-gymnasium.de;12</v>
      </c>
    </row>
    <row r="380" spans="1:5" x14ac:dyDescent="0.2">
      <c r="A380" t="str">
        <f>SchülerInnen!A380</f>
        <v>Mroz</v>
      </c>
      <c r="B380" t="str">
        <f>SchülerInnen!B380</f>
        <v>Aleksandra</v>
      </c>
      <c r="C380" t="str">
        <f>SchülerInnen!E380</f>
        <v>aleksandra.mroz@martinus-gymnasium.de</v>
      </c>
      <c r="D380">
        <f>SchülerInnen!F380</f>
        <v>12</v>
      </c>
      <c r="E380" t="str">
        <f t="shared" si="5"/>
        <v>Mroz;Aleksandra;aleksandra.mroz@martinus-gymnasium.de;12</v>
      </c>
    </row>
    <row r="381" spans="1:5" x14ac:dyDescent="0.2">
      <c r="A381" t="str">
        <f>SchülerInnen!A381</f>
        <v>Muratovic</v>
      </c>
      <c r="B381" t="str">
        <f>SchülerInnen!B381</f>
        <v>Denis</v>
      </c>
      <c r="C381" t="str">
        <f>SchülerInnen!E381</f>
        <v>denis.muratovic@martinus-gymnasium.de</v>
      </c>
      <c r="D381">
        <f>SchülerInnen!F381</f>
        <v>12</v>
      </c>
      <c r="E381" t="str">
        <f t="shared" si="5"/>
        <v>Muratovic;Denis;denis.muratovic@martinus-gymnasium.de;12</v>
      </c>
    </row>
    <row r="382" spans="1:5" x14ac:dyDescent="0.2">
      <c r="A382" t="str">
        <f>SchülerInnen!A382</f>
        <v>Nasution</v>
      </c>
      <c r="B382" t="str">
        <f>SchülerInnen!B382</f>
        <v>Maël-Damai Alexis August</v>
      </c>
      <c r="C382" t="str">
        <f>SchülerInnen!E382</f>
        <v>maël.damai.alexis.august.nasution@martinus-gymnasium.de</v>
      </c>
      <c r="D382">
        <f>SchülerInnen!F382</f>
        <v>12</v>
      </c>
      <c r="E382" t="str">
        <f t="shared" si="5"/>
        <v>Nasution;Maël-Damai Alexis August;maël.damai.alexis.august.nasution@martinus-gymnasium.de;12</v>
      </c>
    </row>
    <row r="383" spans="1:5" x14ac:dyDescent="0.2">
      <c r="A383" t="str">
        <f>SchülerInnen!A383</f>
        <v>Nguyen</v>
      </c>
      <c r="B383" t="str">
        <f>SchülerInnen!B383</f>
        <v>Quang-Sinh</v>
      </c>
      <c r="C383" t="str">
        <f>SchülerInnen!E383</f>
        <v>quang.sinh.nguyen@martinus-gymnasium.de</v>
      </c>
      <c r="D383">
        <f>SchülerInnen!F383</f>
        <v>12</v>
      </c>
      <c r="E383" t="str">
        <f t="shared" si="5"/>
        <v>Nguyen;Quang-Sinh;quang.sinh.nguyen@martinus-gymnasium.de;12</v>
      </c>
    </row>
    <row r="384" spans="1:5" x14ac:dyDescent="0.2">
      <c r="A384" t="str">
        <f>SchülerInnen!A384</f>
        <v>Ohly</v>
      </c>
      <c r="B384" t="str">
        <f>SchülerInnen!B384</f>
        <v>Hannah</v>
      </c>
      <c r="C384" t="str">
        <f>SchülerInnen!E384</f>
        <v>hannah.ohly@martinus-gymnasium.de</v>
      </c>
      <c r="D384">
        <f>SchülerInnen!F384</f>
        <v>12</v>
      </c>
      <c r="E384" t="str">
        <f t="shared" si="5"/>
        <v>Ohly;Hannah;hannah.ohly@martinus-gymnasium.de;12</v>
      </c>
    </row>
    <row r="385" spans="1:5" x14ac:dyDescent="0.2">
      <c r="A385" t="str">
        <f>SchülerInnen!A385</f>
        <v>Padure</v>
      </c>
      <c r="B385" t="str">
        <f>SchülerInnen!B385</f>
        <v>David</v>
      </c>
      <c r="C385" t="str">
        <f>SchülerInnen!E385</f>
        <v>david.padure@martinus-gymnasium.de</v>
      </c>
      <c r="D385">
        <f>SchülerInnen!F385</f>
        <v>12</v>
      </c>
      <c r="E385" t="str">
        <f t="shared" si="5"/>
        <v>Padure;David;david.padure@martinus-gymnasium.de;12</v>
      </c>
    </row>
    <row r="386" spans="1:5" x14ac:dyDescent="0.2">
      <c r="A386" t="str">
        <f>SchülerInnen!A386</f>
        <v>Philippsen</v>
      </c>
      <c r="B386" t="str">
        <f>SchülerInnen!B386</f>
        <v>Max Constantin</v>
      </c>
      <c r="C386" t="str">
        <f>SchülerInnen!E386</f>
        <v>max.constantin.philippsen@martinus-gymnasium.de</v>
      </c>
      <c r="D386">
        <f>SchülerInnen!F386</f>
        <v>12</v>
      </c>
      <c r="E386" t="str">
        <f t="shared" si="5"/>
        <v>Philippsen;Max Constantin;max.constantin.philippsen@martinus-gymnasium.de;12</v>
      </c>
    </row>
    <row r="387" spans="1:5" x14ac:dyDescent="0.2">
      <c r="A387" t="str">
        <f>SchülerInnen!A387</f>
        <v>Pogorelow</v>
      </c>
      <c r="B387" t="str">
        <f>SchülerInnen!B387</f>
        <v>Paul Alexander</v>
      </c>
      <c r="C387" t="str">
        <f>SchülerInnen!E387</f>
        <v>paul.alexander.pogorelow@martinus-gymnasium.de</v>
      </c>
      <c r="D387">
        <f>SchülerInnen!F387</f>
        <v>12</v>
      </c>
      <c r="E387" t="str">
        <f t="shared" ref="E387:E417" si="6">_xlfn.TEXTJOIN(";",FALSE,A387:D387)</f>
        <v>Pogorelow;Paul Alexander;paul.alexander.pogorelow@martinus-gymnasium.de;12</v>
      </c>
    </row>
    <row r="388" spans="1:5" x14ac:dyDescent="0.2">
      <c r="A388" t="str">
        <f>SchülerInnen!A388</f>
        <v>Reetz</v>
      </c>
      <c r="B388" t="str">
        <f>SchülerInnen!B388</f>
        <v>Helene</v>
      </c>
      <c r="C388" t="str">
        <f>SchülerInnen!E388</f>
        <v>helene.reetz@martinus-gymnasium.de</v>
      </c>
      <c r="D388">
        <f>SchülerInnen!F388</f>
        <v>12</v>
      </c>
      <c r="E388" t="str">
        <f t="shared" si="6"/>
        <v>Reetz;Helene;helene.reetz@martinus-gymnasium.de;12</v>
      </c>
    </row>
    <row r="389" spans="1:5" x14ac:dyDescent="0.2">
      <c r="A389" t="str">
        <f>SchülerInnen!A389</f>
        <v>Reither</v>
      </c>
      <c r="B389" t="str">
        <f>SchülerInnen!B389</f>
        <v>Johanna</v>
      </c>
      <c r="C389" t="str">
        <f>SchülerInnen!E389</f>
        <v>johanna.reither@martinus-gymnasium.de</v>
      </c>
      <c r="D389">
        <f>SchülerInnen!F389</f>
        <v>12</v>
      </c>
      <c r="E389" t="str">
        <f t="shared" si="6"/>
        <v>Reither;Johanna;johanna.reither@martinus-gymnasium.de;12</v>
      </c>
    </row>
    <row r="390" spans="1:5" x14ac:dyDescent="0.2">
      <c r="A390" t="str">
        <f>SchülerInnen!A390</f>
        <v>Reuter</v>
      </c>
      <c r="B390" t="str">
        <f>SchülerInnen!B390</f>
        <v>Hannah</v>
      </c>
      <c r="C390" t="str">
        <f>SchülerInnen!E390</f>
        <v>hannah.reuter@martinus-gymnasium.de</v>
      </c>
      <c r="D390">
        <f>SchülerInnen!F390</f>
        <v>12</v>
      </c>
      <c r="E390" t="str">
        <f t="shared" si="6"/>
        <v>Reuter;Hannah;hannah.reuter@martinus-gymnasium.de;12</v>
      </c>
    </row>
    <row r="391" spans="1:5" x14ac:dyDescent="0.2">
      <c r="A391" t="str">
        <f>SchülerInnen!A391</f>
        <v>Reuter</v>
      </c>
      <c r="B391" t="str">
        <f>SchülerInnen!B391</f>
        <v>Lisa</v>
      </c>
      <c r="C391" t="str">
        <f>SchülerInnen!E391</f>
        <v>lisa.reuter@martinus-gymnasium.de</v>
      </c>
      <c r="D391">
        <f>SchülerInnen!F391</f>
        <v>12</v>
      </c>
      <c r="E391" t="str">
        <f t="shared" si="6"/>
        <v>Reuter;Lisa;lisa.reuter@martinus-gymnasium.de;12</v>
      </c>
    </row>
    <row r="392" spans="1:5" x14ac:dyDescent="0.2">
      <c r="A392" t="str">
        <f>SchülerInnen!A392</f>
        <v>Richarz</v>
      </c>
      <c r="B392" t="str">
        <f>SchülerInnen!B392</f>
        <v>Julian</v>
      </c>
      <c r="C392" t="str">
        <f>SchülerInnen!E392</f>
        <v>julian.richarz@martinus-gymnasium.de</v>
      </c>
      <c r="D392">
        <f>SchülerInnen!F392</f>
        <v>12</v>
      </c>
      <c r="E392" t="str">
        <f t="shared" si="6"/>
        <v>Richarz;Julian;julian.richarz@martinus-gymnasium.de;12</v>
      </c>
    </row>
    <row r="393" spans="1:5" x14ac:dyDescent="0.2">
      <c r="A393" t="str">
        <f>SchülerInnen!A393</f>
        <v>Römer</v>
      </c>
      <c r="B393" t="str">
        <f>SchülerInnen!B393</f>
        <v>Jonas</v>
      </c>
      <c r="C393" t="str">
        <f>SchülerInnen!E393</f>
        <v>jonas.roemer@martinus-gymnasium.de</v>
      </c>
      <c r="D393">
        <f>SchülerInnen!F393</f>
        <v>12</v>
      </c>
      <c r="E393" t="str">
        <f t="shared" si="6"/>
        <v>Römer;Jonas;jonas.roemer@martinus-gymnasium.de;12</v>
      </c>
    </row>
    <row r="394" spans="1:5" x14ac:dyDescent="0.2">
      <c r="A394" t="str">
        <f>SchülerInnen!A394</f>
        <v>Rondot</v>
      </c>
      <c r="B394" t="str">
        <f>SchülerInnen!B394</f>
        <v>Ronja</v>
      </c>
      <c r="C394" t="str">
        <f>SchülerInnen!E394</f>
        <v>ronja.rondot@martinus-gymnasium.de</v>
      </c>
      <c r="D394">
        <f>SchülerInnen!F394</f>
        <v>12</v>
      </c>
      <c r="E394" t="str">
        <f t="shared" si="6"/>
        <v>Rondot;Ronja;ronja.rondot@martinus-gymnasium.de;12</v>
      </c>
    </row>
    <row r="395" spans="1:5" x14ac:dyDescent="0.2">
      <c r="A395" t="str">
        <f>SchülerInnen!A395</f>
        <v>Ruthenbeck</v>
      </c>
      <c r="B395" t="str">
        <f>SchülerInnen!B395</f>
        <v>Ayla</v>
      </c>
      <c r="C395" t="str">
        <f>SchülerInnen!E395</f>
        <v>ayla.ruthenbeck@martinus-gymnasium.de</v>
      </c>
      <c r="D395">
        <f>SchülerInnen!F395</f>
        <v>12</v>
      </c>
      <c r="E395" t="str">
        <f t="shared" si="6"/>
        <v>Ruthenbeck;Ayla;ayla.ruthenbeck@martinus-gymnasium.de;12</v>
      </c>
    </row>
    <row r="396" spans="1:5" x14ac:dyDescent="0.2">
      <c r="A396" t="str">
        <f>SchülerInnen!A396</f>
        <v>Rys</v>
      </c>
      <c r="B396" t="str">
        <f>SchülerInnen!B396</f>
        <v>Emilia</v>
      </c>
      <c r="C396" t="str">
        <f>SchülerInnen!E396</f>
        <v>emilia.rys@martinus-gymnasium.de</v>
      </c>
      <c r="D396">
        <f>SchülerInnen!F396</f>
        <v>12</v>
      </c>
      <c r="E396" t="str">
        <f t="shared" si="6"/>
        <v>Rys;Emilia;emilia.rys@martinus-gymnasium.de;12</v>
      </c>
    </row>
    <row r="397" spans="1:5" x14ac:dyDescent="0.2">
      <c r="A397" t="str">
        <f>SchülerInnen!A397</f>
        <v>Schäfer</v>
      </c>
      <c r="B397" t="str">
        <f>SchülerInnen!B397</f>
        <v>Lennart Jakob Johannes</v>
      </c>
      <c r="C397" t="str">
        <f>SchülerInnen!E397</f>
        <v>lennart.jakob.johannes.schaefer@martinus-gymnasium.de</v>
      </c>
      <c r="D397">
        <f>SchülerInnen!F397</f>
        <v>12</v>
      </c>
      <c r="E397" t="str">
        <f t="shared" si="6"/>
        <v>Schäfer;Lennart Jakob Johannes;lennart.jakob.johannes.schaefer@martinus-gymnasium.de;12</v>
      </c>
    </row>
    <row r="398" spans="1:5" x14ac:dyDescent="0.2">
      <c r="A398" t="str">
        <f>SchülerInnen!A398</f>
        <v>Scherer</v>
      </c>
      <c r="B398" t="str">
        <f>SchülerInnen!B398</f>
        <v>Zoé</v>
      </c>
      <c r="C398" t="str">
        <f>SchülerInnen!E398</f>
        <v>zoe.scherer@martinus-gymnasium.de</v>
      </c>
      <c r="D398">
        <f>SchülerInnen!F398</f>
        <v>12</v>
      </c>
      <c r="E398" t="str">
        <f t="shared" si="6"/>
        <v>Scherer;Zoé;zoe.scherer@martinus-gymnasium.de;12</v>
      </c>
    </row>
    <row r="399" spans="1:5" x14ac:dyDescent="0.2">
      <c r="A399" t="str">
        <f>SchülerInnen!A399</f>
        <v>Schlochtermeier</v>
      </c>
      <c r="B399" t="str">
        <f>SchülerInnen!B399</f>
        <v>Lena Luisa</v>
      </c>
      <c r="C399" t="str">
        <f>SchülerInnen!E399</f>
        <v>lena.luisa.schlochtermeier@martinus-gymnasium.de</v>
      </c>
      <c r="D399">
        <f>SchülerInnen!F399</f>
        <v>12</v>
      </c>
      <c r="E399" t="str">
        <f t="shared" si="6"/>
        <v>Schlochtermeier;Lena Luisa;lena.luisa.schlochtermeier@martinus-gymnasium.de;12</v>
      </c>
    </row>
    <row r="400" spans="1:5" x14ac:dyDescent="0.2">
      <c r="A400" t="str">
        <f>SchülerInnen!A400</f>
        <v>Schmitz</v>
      </c>
      <c r="B400" t="str">
        <f>SchülerInnen!B400</f>
        <v>David</v>
      </c>
      <c r="C400" t="str">
        <f>SchülerInnen!E400</f>
        <v>david.schmitz@martinus-gymnasium.de</v>
      </c>
      <c r="D400">
        <f>SchülerInnen!F400</f>
        <v>12</v>
      </c>
      <c r="E400" t="str">
        <f t="shared" si="6"/>
        <v>Schmitz;David;david.schmitz@martinus-gymnasium.de;12</v>
      </c>
    </row>
    <row r="401" spans="1:5" x14ac:dyDescent="0.2">
      <c r="A401" t="str">
        <f>SchülerInnen!A401</f>
        <v>Schneider</v>
      </c>
      <c r="B401" t="str">
        <f>SchülerInnen!B401</f>
        <v>Denise</v>
      </c>
      <c r="C401" t="str">
        <f>SchülerInnen!E401</f>
        <v>denise.schneider@martinus-gymnasium.de</v>
      </c>
      <c r="D401">
        <f>SchülerInnen!F401</f>
        <v>12</v>
      </c>
      <c r="E401" t="str">
        <f t="shared" si="6"/>
        <v>Schneider;Denise;denise.schneider@martinus-gymnasium.de;12</v>
      </c>
    </row>
    <row r="402" spans="1:5" x14ac:dyDescent="0.2">
      <c r="A402" t="str">
        <f>SchülerInnen!A402</f>
        <v>Schönenberg</v>
      </c>
      <c r="B402" t="str">
        <f>SchülerInnen!B402</f>
        <v>Leon</v>
      </c>
      <c r="C402" t="str">
        <f>SchülerInnen!E402</f>
        <v>leon.schoenenberg@martinus-gymnasium.de</v>
      </c>
      <c r="D402">
        <f>SchülerInnen!F402</f>
        <v>12</v>
      </c>
      <c r="E402" t="str">
        <f t="shared" si="6"/>
        <v>Schönenberg;Leon;leon.schoenenberg@martinus-gymnasium.de;12</v>
      </c>
    </row>
    <row r="403" spans="1:5" x14ac:dyDescent="0.2">
      <c r="A403" t="str">
        <f>SchülerInnen!A403</f>
        <v>Schumacher</v>
      </c>
      <c r="B403" t="str">
        <f>SchülerInnen!B403</f>
        <v>Felix Jonathan</v>
      </c>
      <c r="C403" t="str">
        <f>SchülerInnen!E403</f>
        <v>felix.jonathan.schumacher@martinus-gymnasium.de</v>
      </c>
      <c r="D403">
        <f>SchülerInnen!F403</f>
        <v>12</v>
      </c>
      <c r="E403" t="str">
        <f t="shared" si="6"/>
        <v>Schumacher;Felix Jonathan;felix.jonathan.schumacher@martinus-gymnasium.de;12</v>
      </c>
    </row>
    <row r="404" spans="1:5" x14ac:dyDescent="0.2">
      <c r="A404" t="str">
        <f>SchülerInnen!A404</f>
        <v>Siljkovic</v>
      </c>
      <c r="B404" t="str">
        <f>SchülerInnen!B404</f>
        <v>Armin</v>
      </c>
      <c r="C404" t="str">
        <f>SchülerInnen!E404</f>
        <v>armin.siljkovic@martinus-gymnasium.de</v>
      </c>
      <c r="D404">
        <f>SchülerInnen!F404</f>
        <v>12</v>
      </c>
      <c r="E404" t="str">
        <f t="shared" si="6"/>
        <v>Siljkovic;Armin;armin.siljkovic@martinus-gymnasium.de;12</v>
      </c>
    </row>
    <row r="405" spans="1:5" x14ac:dyDescent="0.2">
      <c r="A405" t="str">
        <f>SchülerInnen!A405</f>
        <v>Simons</v>
      </c>
      <c r="B405" t="str">
        <f>SchülerInnen!B405</f>
        <v>Johanna Maria</v>
      </c>
      <c r="C405" t="str">
        <f>SchülerInnen!E405</f>
        <v>johanna.maria.simons@martinus-gymnasium.de</v>
      </c>
      <c r="D405">
        <f>SchülerInnen!F405</f>
        <v>12</v>
      </c>
      <c r="E405" t="str">
        <f t="shared" si="6"/>
        <v>Simons;Johanna Maria;johanna.maria.simons@martinus-gymnasium.de;12</v>
      </c>
    </row>
    <row r="406" spans="1:5" x14ac:dyDescent="0.2">
      <c r="A406" t="str">
        <f>SchülerInnen!A406</f>
        <v>Solak</v>
      </c>
      <c r="B406" t="str">
        <f>SchülerInnen!B406</f>
        <v>Atakan</v>
      </c>
      <c r="C406" t="str">
        <f>SchülerInnen!E406</f>
        <v>atakan.solak@martinus-gymnasium.de</v>
      </c>
      <c r="D406">
        <f>SchülerInnen!F406</f>
        <v>12</v>
      </c>
      <c r="E406" t="str">
        <f t="shared" si="6"/>
        <v>Solak;Atakan;atakan.solak@martinus-gymnasium.de;12</v>
      </c>
    </row>
    <row r="407" spans="1:5" x14ac:dyDescent="0.2">
      <c r="A407" t="str">
        <f>SchülerInnen!A407</f>
        <v>Solinski</v>
      </c>
      <c r="B407" t="str">
        <f>SchülerInnen!B407</f>
        <v>Bastian Timon</v>
      </c>
      <c r="C407" t="str">
        <f>SchülerInnen!E407</f>
        <v>bastian.timon.solinski@martinus-gymnasium.de</v>
      </c>
      <c r="D407">
        <f>SchülerInnen!F407</f>
        <v>12</v>
      </c>
      <c r="E407" t="str">
        <f t="shared" si="6"/>
        <v>Solinski;Bastian Timon;bastian.timon.solinski@martinus-gymnasium.de;12</v>
      </c>
    </row>
    <row r="408" spans="1:5" x14ac:dyDescent="0.2">
      <c r="A408" t="str">
        <f>SchülerInnen!A408</f>
        <v>Tillmann</v>
      </c>
      <c r="B408" t="str">
        <f>SchülerInnen!B408</f>
        <v>Leni</v>
      </c>
      <c r="C408" t="str">
        <f>SchülerInnen!E408</f>
        <v>leni.tillmann@martinus-gymnasium.de</v>
      </c>
      <c r="D408">
        <f>SchülerInnen!F408</f>
        <v>12</v>
      </c>
      <c r="E408" t="str">
        <f t="shared" si="6"/>
        <v>Tillmann;Leni;leni.tillmann@martinus-gymnasium.de;12</v>
      </c>
    </row>
    <row r="409" spans="1:5" x14ac:dyDescent="0.2">
      <c r="A409" t="str">
        <f>SchülerInnen!A409</f>
        <v>Traore</v>
      </c>
      <c r="B409" t="str">
        <f>SchülerInnen!B409</f>
        <v>Fabian</v>
      </c>
      <c r="C409" t="str">
        <f>SchülerInnen!E409</f>
        <v>fabian.traore@martinus-gymnasium.de</v>
      </c>
      <c r="D409">
        <f>SchülerInnen!F409</f>
        <v>12</v>
      </c>
      <c r="E409" t="str">
        <f t="shared" si="6"/>
        <v>Traore;Fabian;fabian.traore@martinus-gymnasium.de;12</v>
      </c>
    </row>
    <row r="410" spans="1:5" x14ac:dyDescent="0.2">
      <c r="A410" t="str">
        <f>SchülerInnen!A410</f>
        <v>von Bargen</v>
      </c>
      <c r="B410" t="str">
        <f>SchülerInnen!B410</f>
        <v>Aaron Sebastian</v>
      </c>
      <c r="C410" t="str">
        <f>SchülerInnen!E410</f>
        <v>aaron.sebastian.von.bargen@martinus-gymnasium.de</v>
      </c>
      <c r="D410">
        <f>SchülerInnen!F410</f>
        <v>12</v>
      </c>
      <c r="E410" t="str">
        <f t="shared" si="6"/>
        <v>von Bargen;Aaron Sebastian;aaron.sebastian.von.bargen@martinus-gymnasium.de;12</v>
      </c>
    </row>
    <row r="411" spans="1:5" x14ac:dyDescent="0.2">
      <c r="A411" t="str">
        <f>SchülerInnen!A411</f>
        <v>Wagner</v>
      </c>
      <c r="B411" t="str">
        <f>SchülerInnen!B411</f>
        <v>Katharina</v>
      </c>
      <c r="C411" t="str">
        <f>SchülerInnen!E411</f>
        <v>katharina.wagner@martinus-gymnasium.de</v>
      </c>
      <c r="D411">
        <f>SchülerInnen!F411</f>
        <v>12</v>
      </c>
      <c r="E411" t="str">
        <f t="shared" si="6"/>
        <v>Wagner;Katharina;katharina.wagner@martinus-gymnasium.de;12</v>
      </c>
    </row>
    <row r="412" spans="1:5" x14ac:dyDescent="0.2">
      <c r="A412" t="str">
        <f>SchülerInnen!A412</f>
        <v>Wahab</v>
      </c>
      <c r="B412" t="str">
        <f>SchülerInnen!B412</f>
        <v>David</v>
      </c>
      <c r="C412" t="str">
        <f>SchülerInnen!E412</f>
        <v>david.wahab@martinus-gymnasium.de</v>
      </c>
      <c r="D412">
        <f>SchülerInnen!F412</f>
        <v>12</v>
      </c>
      <c r="E412" t="str">
        <f t="shared" si="6"/>
        <v>Wahab;David;david.wahab@martinus-gymnasium.de;12</v>
      </c>
    </row>
    <row r="413" spans="1:5" x14ac:dyDescent="0.2">
      <c r="A413" t="str">
        <f>SchülerInnen!A413</f>
        <v>Waldek</v>
      </c>
      <c r="B413" t="str">
        <f>SchülerInnen!B413</f>
        <v>Daniel</v>
      </c>
      <c r="C413" t="str">
        <f>SchülerInnen!E413</f>
        <v>daniel.waldek@martinus-gymnasium.de</v>
      </c>
      <c r="D413">
        <f>SchülerInnen!F413</f>
        <v>12</v>
      </c>
      <c r="E413" t="str">
        <f t="shared" si="6"/>
        <v>Waldek;Daniel;daniel.waldek@martinus-gymnasium.de;12</v>
      </c>
    </row>
    <row r="414" spans="1:5" x14ac:dyDescent="0.2">
      <c r="A414" t="str">
        <f>SchülerInnen!A414</f>
        <v>Wegele</v>
      </c>
      <c r="B414" t="str">
        <f>SchülerInnen!B414</f>
        <v>Diana</v>
      </c>
      <c r="C414" t="str">
        <f>SchülerInnen!E414</f>
        <v>diana.wegele@martinus-gymnasium.de</v>
      </c>
      <c r="D414">
        <f>SchülerInnen!F414</f>
        <v>12</v>
      </c>
      <c r="E414" t="str">
        <f t="shared" si="6"/>
        <v>Wegele;Diana;diana.wegele@martinus-gymnasium.de;12</v>
      </c>
    </row>
    <row r="415" spans="1:5" x14ac:dyDescent="0.2">
      <c r="A415" t="str">
        <f>SchülerInnen!A415</f>
        <v>Weiler</v>
      </c>
      <c r="B415" t="str">
        <f>SchülerInnen!B415</f>
        <v>Tim</v>
      </c>
      <c r="C415" t="str">
        <f>SchülerInnen!E415</f>
        <v>tim.weiler@martinus-gymnasium.de</v>
      </c>
      <c r="D415">
        <f>SchülerInnen!F415</f>
        <v>12</v>
      </c>
      <c r="E415" t="str">
        <f t="shared" si="6"/>
        <v>Weiler;Tim;tim.weiler@martinus-gymnasium.de;12</v>
      </c>
    </row>
    <row r="416" spans="1:5" x14ac:dyDescent="0.2">
      <c r="A416" t="str">
        <f>SchülerInnen!A416</f>
        <v>Wolf</v>
      </c>
      <c r="B416" t="str">
        <f>SchülerInnen!B416</f>
        <v>Fabian</v>
      </c>
      <c r="C416" t="str">
        <f>SchülerInnen!E416</f>
        <v>fabian.wolf@martinus-gymnasium.de</v>
      </c>
      <c r="D416">
        <f>SchülerInnen!F416</f>
        <v>12</v>
      </c>
      <c r="E416" t="str">
        <f t="shared" si="6"/>
        <v>Wolf;Fabian;fabian.wolf@martinus-gymnasium.de;12</v>
      </c>
    </row>
    <row r="417" spans="1:5" x14ac:dyDescent="0.2">
      <c r="A417" t="str">
        <f>SchülerInnen!A417</f>
        <v>Zeqa</v>
      </c>
      <c r="B417" t="str">
        <f>SchülerInnen!B417</f>
        <v>Nderim</v>
      </c>
      <c r="C417" t="str">
        <f>SchülerInnen!E417</f>
        <v>nderim.zeqa@martinus-gymnasium.de</v>
      </c>
      <c r="D417">
        <f>SchülerInnen!F417</f>
        <v>12</v>
      </c>
      <c r="E417" t="str">
        <f t="shared" si="6"/>
        <v>Zeqa;Nderim;nderim.zeqa@martinus-gymnasium.de;12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6932-4C0A-7E40-A927-DBC693CDAB10}">
  <dimension ref="A1:C13"/>
  <sheetViews>
    <sheetView workbookViewId="0">
      <selection activeCell="C2" sqref="C2"/>
    </sheetView>
  </sheetViews>
  <sheetFormatPr baseColWidth="10" defaultRowHeight="15" x14ac:dyDescent="0.2"/>
  <sheetData>
    <row r="1" spans="1:3" x14ac:dyDescent="0.2">
      <c r="A1" t="s">
        <v>684</v>
      </c>
      <c r="C1" t="s">
        <v>687</v>
      </c>
    </row>
    <row r="2" spans="1:3" x14ac:dyDescent="0.2">
      <c r="A2" t="str" cm="1">
        <f t="array" ref="A2:A13">_xlfn.UNIQUE(SchülerInnen!F2:F417)</f>
        <v>8a</v>
      </c>
      <c r="C2" t="str">
        <f>_xlfn.TEXTJOIN("|",TRUE,_xlfn.ANCHORARRAY(A2))</f>
        <v>8a|8b|8c|9a|9b|9c|9d|10a|10b|10c|11|12</v>
      </c>
    </row>
    <row r="3" spans="1:3" x14ac:dyDescent="0.2">
      <c r="A3" t="str">
        <v>8b</v>
      </c>
    </row>
    <row r="4" spans="1:3" x14ac:dyDescent="0.2">
      <c r="A4" t="str">
        <v>8c</v>
      </c>
    </row>
    <row r="5" spans="1:3" x14ac:dyDescent="0.2">
      <c r="A5" t="str">
        <v>9a</v>
      </c>
    </row>
    <row r="6" spans="1:3" x14ac:dyDescent="0.2">
      <c r="A6" t="str">
        <v>9b</v>
      </c>
    </row>
    <row r="7" spans="1:3" x14ac:dyDescent="0.2">
      <c r="A7" t="str">
        <v>9c</v>
      </c>
    </row>
    <row r="8" spans="1:3" x14ac:dyDescent="0.2">
      <c r="A8" t="str">
        <v>9d</v>
      </c>
    </row>
    <row r="9" spans="1:3" x14ac:dyDescent="0.2">
      <c r="A9" t="str">
        <v>10a</v>
      </c>
    </row>
    <row r="10" spans="1:3" x14ac:dyDescent="0.2">
      <c r="A10" t="str">
        <v>10b</v>
      </c>
    </row>
    <row r="11" spans="1:3" x14ac:dyDescent="0.2">
      <c r="A11" t="str">
        <v>10c</v>
      </c>
    </row>
    <row r="12" spans="1:3" x14ac:dyDescent="0.2">
      <c r="A12">
        <v>11</v>
      </c>
    </row>
    <row r="13" spans="1:3" x14ac:dyDescent="0.2">
      <c r="A13">
        <v>12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Räume</vt:lpstr>
      <vt:lpstr>SchülerInnen</vt:lpstr>
      <vt:lpstr>teilnehmer.csv</vt:lpstr>
      <vt:lpstr>V-Gruppen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Marius</dc:creator>
  <cp:lastModifiedBy>Jürgen Krey</cp:lastModifiedBy>
  <dcterms:created xsi:type="dcterms:W3CDTF">2026-06-27T05:05:38Z</dcterms:created>
  <dcterms:modified xsi:type="dcterms:W3CDTF">2026-06-28T22:16:32Z</dcterms:modified>
</cp:coreProperties>
</file>