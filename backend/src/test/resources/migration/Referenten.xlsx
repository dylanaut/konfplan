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kreyj/Java/berufsorientierung/KonfPlan/backend/src/test/resources/migration/"/>
    </mc:Choice>
  </mc:AlternateContent>
  <xr:revisionPtr revIDLastSave="0" documentId="13_ncr:1_{3B625739-F752-DF41-9932-6B457ADBF9C7}" xr6:coauthVersionLast="47" xr6:coauthVersionMax="47" xr10:uidLastSave="{00000000-0000-0000-0000-000000000000}"/>
  <bookViews>
    <workbookView xWindow="360" yWindow="660" windowWidth="32780" windowHeight="18940" activeTab="3" xr2:uid="{00000000-000D-0000-FFFF-FFFF00000000}"/>
  </bookViews>
  <sheets>
    <sheet name="Worksheet" sheetId="1" r:id="rId1"/>
    <sheet name="CleanUp" sheetId="3" r:id="rId2"/>
    <sheet name="referenten" sheetId="2" r:id="rId3"/>
    <sheet name="Vorträ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4" l="1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D7" i="4"/>
  <c r="D8" i="4"/>
  <c r="D9" i="4"/>
  <c r="D10" i="4"/>
  <c r="D17" i="4"/>
  <c r="D18" i="4"/>
  <c r="D19" i="4"/>
  <c r="D20" i="4"/>
  <c r="D27" i="4"/>
  <c r="D28" i="4"/>
  <c r="D29" i="4"/>
  <c r="D30" i="4"/>
  <c r="C4" i="4"/>
  <c r="C6" i="4"/>
  <c r="F6" i="4" s="1"/>
  <c r="C7" i="4"/>
  <c r="F7" i="4" s="1"/>
  <c r="C8" i="4"/>
  <c r="F8" i="4" s="1"/>
  <c r="C9" i="4"/>
  <c r="F9" i="4" s="1"/>
  <c r="C16" i="4"/>
  <c r="C17" i="4"/>
  <c r="F17" i="4" s="1"/>
  <c r="C18" i="4"/>
  <c r="F18" i="4" s="1"/>
  <c r="C19" i="4"/>
  <c r="F19" i="4" s="1"/>
  <c r="C26" i="4"/>
  <c r="F26" i="4" s="1"/>
  <c r="C27" i="4"/>
  <c r="F27" i="4" s="1"/>
  <c r="C28" i="4"/>
  <c r="F28" i="4" s="1"/>
  <c r="C29" i="4"/>
  <c r="F29" i="4" s="1"/>
  <c r="A34" i="4"/>
  <c r="C34" i="4" s="1"/>
  <c r="F34" i="4" s="1"/>
  <c r="A33" i="4"/>
  <c r="C33" i="4" s="1"/>
  <c r="F33" i="4" s="1"/>
  <c r="A32" i="4"/>
  <c r="C32" i="4" s="1"/>
  <c r="F32" i="4" s="1"/>
  <c r="A31" i="4"/>
  <c r="D31" i="4" s="1"/>
  <c r="A30" i="4"/>
  <c r="C30" i="4" s="1"/>
  <c r="F30" i="4" s="1"/>
  <c r="A29" i="4"/>
  <c r="A28" i="4"/>
  <c r="A27" i="4"/>
  <c r="A26" i="4"/>
  <c r="D26" i="4" s="1"/>
  <c r="A25" i="4"/>
  <c r="D25" i="4" s="1"/>
  <c r="A24" i="4"/>
  <c r="C24" i="4" s="1"/>
  <c r="F24" i="4" s="1"/>
  <c r="A23" i="4"/>
  <c r="C23" i="4" s="1"/>
  <c r="F23" i="4" s="1"/>
  <c r="A22" i="4"/>
  <c r="C22" i="4" s="1"/>
  <c r="F22" i="4" s="1"/>
  <c r="A21" i="4"/>
  <c r="D21" i="4" s="1"/>
  <c r="A20" i="4"/>
  <c r="C20" i="4" s="1"/>
  <c r="F20" i="4" s="1"/>
  <c r="A19" i="4"/>
  <c r="A18" i="4"/>
  <c r="A17" i="4"/>
  <c r="A16" i="4"/>
  <c r="D16" i="4" s="1"/>
  <c r="A15" i="4"/>
  <c r="D15" i="4" s="1"/>
  <c r="A14" i="4"/>
  <c r="C14" i="4" s="1"/>
  <c r="A13" i="4"/>
  <c r="C13" i="4" s="1"/>
  <c r="A12" i="4"/>
  <c r="C12" i="4" s="1"/>
  <c r="A11" i="4"/>
  <c r="D11" i="4" s="1"/>
  <c r="A10" i="4"/>
  <c r="C10" i="4" s="1"/>
  <c r="A9" i="4"/>
  <c r="A8" i="4"/>
  <c r="A7" i="4"/>
  <c r="A6" i="4"/>
  <c r="D6" i="4" s="1"/>
  <c r="A5" i="4"/>
  <c r="D5" i="4" s="1"/>
  <c r="A4" i="4"/>
  <c r="D4" i="4" s="1"/>
  <c r="A3" i="4"/>
  <c r="C3" i="4" s="1"/>
  <c r="A2" i="4"/>
  <c r="D2" i="4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F5" i="2"/>
  <c r="F6" i="2"/>
  <c r="F7" i="2"/>
  <c r="F15" i="2"/>
  <c r="F16" i="2"/>
  <c r="F17" i="2"/>
  <c r="F25" i="2"/>
  <c r="F26" i="2"/>
  <c r="F27" i="2"/>
  <c r="F29" i="2"/>
  <c r="E3" i="2"/>
  <c r="E5" i="2"/>
  <c r="E6" i="2"/>
  <c r="E7" i="2"/>
  <c r="E13" i="2"/>
  <c r="E15" i="2"/>
  <c r="E16" i="2"/>
  <c r="E17" i="2"/>
  <c r="E23" i="2"/>
  <c r="E25" i="2"/>
  <c r="E26" i="2"/>
  <c r="E27" i="2"/>
  <c r="E2" i="2"/>
  <c r="D3" i="2"/>
  <c r="D5" i="2"/>
  <c r="D13" i="2"/>
  <c r="D15" i="2"/>
  <c r="D23" i="2"/>
  <c r="D25" i="2"/>
  <c r="D29" i="2"/>
  <c r="D30" i="2"/>
  <c r="D31" i="2"/>
  <c r="D32" i="2"/>
  <c r="D33" i="2"/>
  <c r="C5" i="2"/>
  <c r="C8" i="2"/>
  <c r="C9" i="2"/>
  <c r="C10" i="2"/>
  <c r="C11" i="2"/>
  <c r="C13" i="2"/>
  <c r="C16" i="2"/>
  <c r="C17" i="2"/>
  <c r="C18" i="2"/>
  <c r="C19" i="2"/>
  <c r="C20" i="2"/>
  <c r="C21" i="2"/>
  <c r="C23" i="2"/>
  <c r="C26" i="2"/>
  <c r="C27" i="2"/>
  <c r="C28" i="2"/>
  <c r="C29" i="2"/>
  <c r="C30" i="2"/>
  <c r="C31" i="2"/>
  <c r="B5" i="2"/>
  <c r="B8" i="2"/>
  <c r="B9" i="2"/>
  <c r="B10" i="2"/>
  <c r="B11" i="2"/>
  <c r="B13" i="2"/>
  <c r="B16" i="2"/>
  <c r="B17" i="2"/>
  <c r="B18" i="2"/>
  <c r="B19" i="2"/>
  <c r="B20" i="2"/>
  <c r="B21" i="2"/>
  <c r="B23" i="2"/>
  <c r="B26" i="2"/>
  <c r="B27" i="2"/>
  <c r="B28" i="2"/>
  <c r="B29" i="2"/>
  <c r="B30" i="2"/>
  <c r="B31" i="2"/>
  <c r="A29" i="2"/>
  <c r="E29" i="2" s="1"/>
  <c r="A30" i="2"/>
  <c r="E30" i="2" s="1"/>
  <c r="A31" i="2"/>
  <c r="E31" i="2" s="1"/>
  <c r="A32" i="2"/>
  <c r="F32" i="2" s="1"/>
  <c r="A33" i="2"/>
  <c r="F33" i="2" s="1"/>
  <c r="A34" i="2"/>
  <c r="C34" i="2" s="1"/>
  <c r="A3" i="2"/>
  <c r="F3" i="2" s="1"/>
  <c r="A4" i="2"/>
  <c r="C4" i="2" s="1"/>
  <c r="A5" i="2"/>
  <c r="A6" i="2"/>
  <c r="D6" i="2" s="1"/>
  <c r="A7" i="2"/>
  <c r="D7" i="2" s="1"/>
  <c r="A8" i="2"/>
  <c r="D8" i="2" s="1"/>
  <c r="A9" i="2"/>
  <c r="E9" i="2" s="1"/>
  <c r="A10" i="2"/>
  <c r="E10" i="2" s="1"/>
  <c r="A11" i="2"/>
  <c r="E11" i="2" s="1"/>
  <c r="A12" i="2"/>
  <c r="F12" i="2" s="1"/>
  <c r="A13" i="2"/>
  <c r="F13" i="2" s="1"/>
  <c r="A14" i="2"/>
  <c r="C14" i="2" s="1"/>
  <c r="A15" i="2"/>
  <c r="C15" i="2" s="1"/>
  <c r="A16" i="2"/>
  <c r="D16" i="2" s="1"/>
  <c r="A17" i="2"/>
  <c r="D17" i="2" s="1"/>
  <c r="A18" i="2"/>
  <c r="D18" i="2" s="1"/>
  <c r="A19" i="2"/>
  <c r="E19" i="2" s="1"/>
  <c r="A20" i="2"/>
  <c r="E20" i="2" s="1"/>
  <c r="A21" i="2"/>
  <c r="E21" i="2" s="1"/>
  <c r="A22" i="2"/>
  <c r="F22" i="2" s="1"/>
  <c r="A23" i="2"/>
  <c r="F23" i="2" s="1"/>
  <c r="A24" i="2"/>
  <c r="C24" i="2" s="1"/>
  <c r="A25" i="2"/>
  <c r="C25" i="2" s="1"/>
  <c r="A26" i="2"/>
  <c r="D26" i="2" s="1"/>
  <c r="A27" i="2"/>
  <c r="D27" i="2" s="1"/>
  <c r="A28" i="2"/>
  <c r="D28" i="2" s="1"/>
  <c r="A2" i="2"/>
  <c r="C2" i="2" s="1"/>
  <c r="F12" i="4" l="1"/>
  <c r="F14" i="4"/>
  <c r="F3" i="4"/>
  <c r="F10" i="4"/>
  <c r="F13" i="4"/>
  <c r="C31" i="4"/>
  <c r="F31" i="4" s="1"/>
  <c r="C21" i="4"/>
  <c r="F21" i="4" s="1"/>
  <c r="C11" i="4"/>
  <c r="D34" i="4"/>
  <c r="D24" i="4"/>
  <c r="D14" i="4"/>
  <c r="D33" i="4"/>
  <c r="D23" i="4"/>
  <c r="D13" i="4"/>
  <c r="D3" i="4"/>
  <c r="F16" i="4"/>
  <c r="D32" i="4"/>
  <c r="D22" i="4"/>
  <c r="D12" i="4"/>
  <c r="F4" i="4"/>
  <c r="C2" i="4"/>
  <c r="C25" i="4"/>
  <c r="F25" i="4" s="1"/>
  <c r="C15" i="4"/>
  <c r="C5" i="4"/>
  <c r="D12" i="2"/>
  <c r="B33" i="2"/>
  <c r="C33" i="2"/>
  <c r="E28" i="2"/>
  <c r="E18" i="2"/>
  <c r="E8" i="2"/>
  <c r="F31" i="2"/>
  <c r="F21" i="2"/>
  <c r="F11" i="2"/>
  <c r="D2" i="2"/>
  <c r="B32" i="2"/>
  <c r="B22" i="2"/>
  <c r="B12" i="2"/>
  <c r="C32" i="2"/>
  <c r="C22" i="2"/>
  <c r="C12" i="2"/>
  <c r="D34" i="2"/>
  <c r="D24" i="2"/>
  <c r="D14" i="2"/>
  <c r="D4" i="2"/>
  <c r="F30" i="2"/>
  <c r="F20" i="2"/>
  <c r="F10" i="2"/>
  <c r="F19" i="2"/>
  <c r="F9" i="2"/>
  <c r="F28" i="2"/>
  <c r="F18" i="2"/>
  <c r="F8" i="2"/>
  <c r="D22" i="2"/>
  <c r="D21" i="2"/>
  <c r="D11" i="2"/>
  <c r="E34" i="2"/>
  <c r="E24" i="2"/>
  <c r="E14" i="2"/>
  <c r="E4" i="2"/>
  <c r="D20" i="2"/>
  <c r="D10" i="2"/>
  <c r="E33" i="2"/>
  <c r="B4" i="2"/>
  <c r="F4" i="2"/>
  <c r="D19" i="2"/>
  <c r="D9" i="2"/>
  <c r="E32" i="2"/>
  <c r="E22" i="2"/>
  <c r="E12" i="2"/>
  <c r="F2" i="2"/>
  <c r="F34" i="2"/>
  <c r="F14" i="2"/>
  <c r="B2" i="2"/>
  <c r="I2" i="2" s="1"/>
  <c r="B25" i="2"/>
  <c r="B15" i="2"/>
  <c r="B3" i="2"/>
  <c r="C3" i="2"/>
  <c r="F24" i="2"/>
  <c r="B34" i="2"/>
  <c r="B24" i="2"/>
  <c r="B14" i="2"/>
  <c r="F11" i="4" l="1"/>
  <c r="F5" i="4"/>
  <c r="F2" i="4"/>
  <c r="N2" i="4" s="1"/>
  <c r="F15" i="4"/>
</calcChain>
</file>

<file path=xl/sharedStrings.xml><?xml version="1.0" encoding="utf-8"?>
<sst xmlns="http://schemas.openxmlformats.org/spreadsheetml/2006/main" count="629" uniqueCount="386">
  <si>
    <t>Name des Unternehmens / der Organisation</t>
  </si>
  <si>
    <t>Vorgestellter Beruf / vorgestelltes Berufsfeld</t>
  </si>
  <si>
    <t>Ihr Name, Vorname (Ihre Position im Unternehmen / in der Organisation)</t>
  </si>
  <si>
    <t>Straße, Hausnummer</t>
  </si>
  <si>
    <t>PLZ, Ort</t>
  </si>
  <si>
    <t>Telefon</t>
  </si>
  <si>
    <t>Email</t>
  </si>
  <si>
    <t>A) Falls Sie gerne in einem Klassenraum eine Vorstellung eines Berufes anbieten möchten:</t>
  </si>
  <si>
    <t xml:space="preserve">B) Falls Sie gerne an der Ausstellung teilnehmen möchten: </t>
  </si>
  <si>
    <t xml:space="preserve">TH Köln </t>
  </si>
  <si>
    <t xml:space="preserve">Rechtsanwalt / Jura Studium / Studium Wirtschaftsrecht </t>
  </si>
  <si>
    <t>Arens, Stephan Dr. Prof.</t>
  </si>
  <si>
    <t xml:space="preserve"> Claudiusstr. 1</t>
  </si>
  <si>
    <t>50678 Köln</t>
  </si>
  <si>
    <t>01773845911</t>
  </si>
  <si>
    <t>stephan.arens@th-koeln.de</t>
  </si>
  <si>
    <t xml:space="preserve"> Beamer</t>
  </si>
  <si>
    <t>15:30 - 16:15 Uhr; 16:15 - 17:00 Uhr; 17:00 - 17:45 Uhr</t>
  </si>
  <si>
    <t>Engagement Global gGmbH</t>
  </si>
  <si>
    <t xml:space="preserve">Entwicklungszusammenarbeit </t>
  </si>
  <si>
    <t>Schäfer, Martin (Projektleitung finanzielle Förderung)</t>
  </si>
  <si>
    <t>53545 Linz</t>
  </si>
  <si>
    <t>01735656395</t>
  </si>
  <si>
    <t>mart.schaefer@gmail.com</t>
  </si>
  <si>
    <t>-</t>
  </si>
  <si>
    <t>16:15 - 17:00 Uhr; 17:00 - 17:45 Uhr; 17:45 - 18:30 Uhr</t>
  </si>
  <si>
    <t xml:space="preserve">Ich möchte keinen Stand betreuen </t>
  </si>
  <si>
    <t>Deutsches Zentrum für Luft- und Raumfahrt</t>
  </si>
  <si>
    <t>Luft- und Raumfahrtingenieur</t>
  </si>
  <si>
    <t>Anke Pagels-Kerp, Raumfahrtvorstand</t>
  </si>
  <si>
    <t>Finkenweg 38</t>
  </si>
  <si>
    <t>01736272512</t>
  </si>
  <si>
    <t>anke.pagels-kerp@dlr.de</t>
  </si>
  <si>
    <t>Beamer</t>
  </si>
  <si>
    <t xml:space="preserve">ASUC GmbH </t>
  </si>
  <si>
    <t xml:space="preserve">Fachkraft für Arbeitssicherheit </t>
  </si>
  <si>
    <t>Schneider, Christian, Angestellter</t>
  </si>
  <si>
    <t>Mittelstraße 93</t>
  </si>
  <si>
    <t>53524 Remagen</t>
  </si>
  <si>
    <t>01774973891</t>
  </si>
  <si>
    <t>chrisumilgl@freenet.de</t>
  </si>
  <si>
    <t>15:30 - 16:15 Uhr; 16:15 - 17:00 Uhr; 17:00 - 17:45 Uhr; 17:45 - 18:30 Uhr</t>
  </si>
  <si>
    <t>Uniklinik Bonn</t>
  </si>
  <si>
    <t>Operationstechnische/Anästhesietechnische Assistenz</t>
  </si>
  <si>
    <t>Lehrperson an der OTA/ATA Schule</t>
  </si>
  <si>
    <t>53424, Remagen</t>
  </si>
  <si>
    <t>017662934419</t>
  </si>
  <si>
    <t>madleen883.schneider@gmx.de</t>
  </si>
  <si>
    <t>Smartboard</t>
  </si>
  <si>
    <t>2</t>
  </si>
  <si>
    <t>Keine Stehtische</t>
  </si>
  <si>
    <t>Verbundkrankenhaus Linz-Remagen/ Pflegefachschule Linz-Remagen</t>
  </si>
  <si>
    <t>Pflegefachmann/Pflegefachfrau; medizinische Fachangestellte; operationstechnische Assistenten; medizinische Technologie für Radiologie; medizinische Technologie für Laboratoriumsanalytik; Pharmazeutisch technische Angestellte oder p. kaufmännische Angestellte</t>
  </si>
  <si>
    <t>Waldbreitbacher Straße 1</t>
  </si>
  <si>
    <t>56588</t>
  </si>
  <si>
    <t>02644 55 8003</t>
  </si>
  <si>
    <t>kheidrich@pflegefachschule-linz.de</t>
  </si>
  <si>
    <t>Ich möchte eine Power Point zeigen können.</t>
  </si>
  <si>
    <t>1</t>
  </si>
  <si>
    <t>Strom</t>
  </si>
  <si>
    <t>VR Bank RheinAhrEifel eG</t>
  </si>
  <si>
    <t xml:space="preserve">Bankkaufmann/ Bankkauffrau </t>
  </si>
  <si>
    <t xml:space="preserve">König, Bianca Recruiting/Personalgewinnung </t>
  </si>
  <si>
    <t>Langendorfer Straße 147</t>
  </si>
  <si>
    <t xml:space="preserve">56564 Neuwied </t>
  </si>
  <si>
    <t>02631 82545004</t>
  </si>
  <si>
    <t>bianca-eileen.koenig@vr-rae.de</t>
  </si>
  <si>
    <t>/</t>
  </si>
  <si>
    <t>0</t>
  </si>
  <si>
    <t>Wir birngen einen eigenen Counter und Roll Ups mit</t>
  </si>
  <si>
    <t>Brillux GmbH &amp; Co. KG, Niederlassung Neuwied</t>
  </si>
  <si>
    <t>Kaufmann (m/w/d) für Groß- und Außenhandelsmanagement</t>
  </si>
  <si>
    <t>Kira Brauer</t>
  </si>
  <si>
    <t>Allensteiner Straße 20</t>
  </si>
  <si>
    <t>56566 Neuwied</t>
  </si>
  <si>
    <t>025171888297</t>
  </si>
  <si>
    <t>messenverwaltung@brillux.de</t>
  </si>
  <si>
    <t>Wird würden uns freuen, wenn es die Möglichkeit für einen Stromanschluss geben würde.</t>
  </si>
  <si>
    <t xml:space="preserve">Confiserie Coppeneur et Compagnon GmbH </t>
  </si>
  <si>
    <t xml:space="preserve">Süßwarentechnologie | Lebensmittelchemie | Industriekaufleute </t>
  </si>
  <si>
    <t>Diederich, Luci - Teil der Geschäftsleitung | Leitung Qualitätsmanagement, Qualitätssicherung &amp; Produktentwicklung</t>
  </si>
  <si>
    <t>Gewerbepark Dachsberg 1</t>
  </si>
  <si>
    <t>53604 Bad Honnef</t>
  </si>
  <si>
    <t xml:space="preserve">022249010436 </t>
  </si>
  <si>
    <t>l.diederich@coppeneur.de</t>
  </si>
  <si>
    <t xml:space="preserve">Ggf. Strom für ein Laptop/ Fernseher </t>
  </si>
  <si>
    <t>Hochschule Bonn-Rhein-Sieg</t>
  </si>
  <si>
    <t>Allgemeine Studienorientierung, Bewerbung an der H-BRS</t>
  </si>
  <si>
    <t>Kloth, Sarah</t>
  </si>
  <si>
    <t>Grantham-Allee 20</t>
  </si>
  <si>
    <t>53757 Sankt Augustin</t>
  </si>
  <si>
    <t>02241 865 9767</t>
  </si>
  <si>
    <t>sarah.kloth@h-brs.de</t>
  </si>
  <si>
    <t>Beamer, HDMI-Kabel</t>
  </si>
  <si>
    <t>15:30 - 16:15 Uhr</t>
  </si>
  <si>
    <t>Rheinisches Bildungszentrum</t>
  </si>
  <si>
    <t>Anästhesietechnischer Assistent/ Operationstechnischer Assistent/ Generalistische Pflegeausbildung/ Medizinischer Technologe in der Radiologie/ Physiotherapeut</t>
  </si>
  <si>
    <t>Florian Metzler - Leiter des BZs</t>
  </si>
  <si>
    <t>Andernacherstr. 70</t>
  </si>
  <si>
    <t>02631 82529 211</t>
  </si>
  <si>
    <t>joanna.fait@marienhaus.de</t>
  </si>
  <si>
    <t>4</t>
  </si>
  <si>
    <t>Debeka Krankenversicherungsverein a. G.</t>
  </si>
  <si>
    <t>Kaufmann/-frau für Versicherungen und Finanzen</t>
  </si>
  <si>
    <t>Michael Jung, Geschäftsstellenleiter u. Florian Heumann, Organisationsleiter</t>
  </si>
  <si>
    <t>Langendorfer Str. 94</t>
  </si>
  <si>
    <t>56564 Neuwied</t>
  </si>
  <si>
    <t>02631-8709-10</t>
  </si>
  <si>
    <t>Michael.Jung@debeka.de</t>
  </si>
  <si>
    <t>3</t>
  </si>
  <si>
    <t>Polizei Rheinland Pfalz - PI Linz am Rhein</t>
  </si>
  <si>
    <t>Polizeibeamt*innen</t>
  </si>
  <si>
    <t>Pütz, David (nebenamtlicher Einstellungsberater)</t>
  </si>
  <si>
    <t>Am Konvikt 1</t>
  </si>
  <si>
    <t>53545 Linz am Rhein</t>
  </si>
  <si>
    <t>026449430</t>
  </si>
  <si>
    <t>pilinz.einstellungsberatung@polizei.rlp.de</t>
  </si>
  <si>
    <t xml:space="preserve">Smartboard oder Beamer. Möglichkeit von einem USB Stick aus eine Präsentation starten zu können. </t>
  </si>
  <si>
    <t>Birkenstock Productions</t>
  </si>
  <si>
    <t>Elektroniker / Industriemechaniker</t>
  </si>
  <si>
    <t>Schneider, Andreas Teamleiter Ausbildung)</t>
  </si>
  <si>
    <t>Industriestraße 25</t>
  </si>
  <si>
    <t>53562 St. Katharinen</t>
  </si>
  <si>
    <t>02645/ 135122</t>
  </si>
  <si>
    <t>andreas.schneider@birkenstock.com</t>
  </si>
  <si>
    <t>elektrischer Anschluss</t>
  </si>
  <si>
    <t xml:space="preserve">Bundespolizei </t>
  </si>
  <si>
    <t>Bundespolizist</t>
  </si>
  <si>
    <t>Diesner, Michael, Polizeihauptkommissar</t>
  </si>
  <si>
    <t>Johanna-Löwenherz-Straße 2</t>
  </si>
  <si>
    <t xml:space="preserve">56598 Rheinbrohl </t>
  </si>
  <si>
    <t>01751656746</t>
  </si>
  <si>
    <t>michael.diesner@polizei.bund.de</t>
  </si>
  <si>
    <t>PC mit USB Anschluss und Beamer für Video und Powerpointpräsentation</t>
  </si>
  <si>
    <t>Nölken Hygiene Products GmbH</t>
  </si>
  <si>
    <t>Chemikant, Fachlagerist/Fachkraft Lagerlogistik, Fachinformatiker für Systemintegration</t>
  </si>
  <si>
    <t>Vorstellung durch die Ausbilder! Chemikant: Mario Diede, Fachlagerist/Fachkraft Lagerlogistik: Vitali Huse, Fachinformatiker für Systemintegration: Dirk Bach</t>
  </si>
  <si>
    <t>Klarenplatz 2</t>
  </si>
  <si>
    <t>53578 Windhagen</t>
  </si>
  <si>
    <t xml:space="preserve">02645/9527-142 </t>
  </si>
  <si>
    <t>krossa@noelken.de</t>
  </si>
  <si>
    <t>Finanzamt Neuwied</t>
  </si>
  <si>
    <t xml:space="preserve">Finanzwirt-in / Diplomfinanzwirt-in </t>
  </si>
  <si>
    <t>Isaak, Margarete, Mitglied im Ausbildungsteam des FA Neuwied</t>
  </si>
  <si>
    <t>Augustastr. 70</t>
  </si>
  <si>
    <t>02631 910 29323</t>
  </si>
  <si>
    <t>ausbildung@fa-nr.fin-rlp.de</t>
  </si>
  <si>
    <t>Beamer wird benötigt</t>
  </si>
  <si>
    <t>15:30 - 16:15 Uhr; 16:15 - 17:00 Uhr</t>
  </si>
  <si>
    <t>Deutsche Raumfahrtagentur im DLR</t>
  </si>
  <si>
    <t>Physiker</t>
  </si>
  <si>
    <t>Dr. Bensch, Frank (Deutscher Delegierter bei der Europäischen Weltraumagentur ESA, Fachgruppenleiter Satkom Europäische Programme)</t>
  </si>
  <si>
    <t>Sonnenstr. 19</t>
  </si>
  <si>
    <t>Erpel</t>
  </si>
  <si>
    <t>01725877861</t>
  </si>
  <si>
    <t>frank@bensch-erpel.de</t>
  </si>
  <si>
    <t>Bitte Beamer</t>
  </si>
  <si>
    <t>Verbandsgemeinde Linz am Rhein</t>
  </si>
  <si>
    <t>Klimaschutz</t>
  </si>
  <si>
    <t>Andrea Schlüter</t>
  </si>
  <si>
    <t>Am Schoppbüchel 5</t>
  </si>
  <si>
    <t>02644560125</t>
  </si>
  <si>
    <t>andrea.schlueter@vg-linz.de</t>
  </si>
  <si>
    <t>Jugendvertretung</t>
  </si>
  <si>
    <t>Pascal Labonde</t>
  </si>
  <si>
    <t>02644/5601394</t>
  </si>
  <si>
    <t>pascal.labonde@vg-linz.de</t>
  </si>
  <si>
    <t>Niedax GmbH &amp; Co. KG</t>
  </si>
  <si>
    <t>Werkzeugmechaniker, Industriemechaniker, Elektroniker, Maschinen- u. Anlagenführer,  Industriekauffrau</t>
  </si>
  <si>
    <t>Manuela Schützeichel (stellv. Personalleitung / Ausbildungsleitung)</t>
  </si>
  <si>
    <t>Asbacher Str. 141</t>
  </si>
  <si>
    <t>53545 Linz/Rhein</t>
  </si>
  <si>
    <t>02644 / 5606-717</t>
  </si>
  <si>
    <t>manuela.schuetzeichel@niedax.de</t>
  </si>
  <si>
    <t>Stromanschluss</t>
  </si>
  <si>
    <t xml:space="preserve">Siebers Sanitär- und Heizungstechnik GmbH </t>
  </si>
  <si>
    <t>SHK Anlagenmechaniker, Wasser, Wärme, Klima, Lüftung</t>
  </si>
  <si>
    <t xml:space="preserve">Markus Bouillon </t>
  </si>
  <si>
    <t>Am Totenborn 6</t>
  </si>
  <si>
    <t>015254129686</t>
  </si>
  <si>
    <t>markusbouillon@siebersgmbh.de</t>
  </si>
  <si>
    <t xml:space="preserve">Steckdose 230V </t>
  </si>
  <si>
    <t>Bundeswehr</t>
  </si>
  <si>
    <t>Militärische und zivile Karrieremöglichkeiten</t>
  </si>
  <si>
    <t>Kunkel, Lisa (Büroleitung Karriereberatungsbüro Bonn)</t>
  </si>
  <si>
    <t>Königswinterer Straße 556</t>
  </si>
  <si>
    <t>53227 Bonn</t>
  </si>
  <si>
    <t>02289471236</t>
  </si>
  <si>
    <t>KarrBBBonn@bundeswehr.org</t>
  </si>
  <si>
    <t>Stromanschluss, Standgröße 2x3m</t>
  </si>
  <si>
    <t xml:space="preserve">Jade Hochschule </t>
  </si>
  <si>
    <t>Naturwissenschaftler</t>
  </si>
  <si>
    <t>Born, Philip (Professor für Physik)</t>
  </si>
  <si>
    <t>Gut Haanhof 1</t>
  </si>
  <si>
    <t xml:space="preserve">53572 Unkel </t>
  </si>
  <si>
    <t>015157393377</t>
  </si>
  <si>
    <t>philip.born@jade-hs.de</t>
  </si>
  <si>
    <t>Hochschule Koblenz</t>
  </si>
  <si>
    <t>Bachelorstudiengang Management, Führung, Innovation</t>
  </si>
  <si>
    <t>Weber, Princilia (Wissenschaftliche Mitarbeiterin des Studiengangs Management, Führung, Innovation</t>
  </si>
  <si>
    <t>Joseph-Rovan-Allee 2</t>
  </si>
  <si>
    <t>53424</t>
  </si>
  <si>
    <t>02642932551</t>
  </si>
  <si>
    <t>weber3@hs-koblenz.de</t>
  </si>
  <si>
    <t>Bitte Beamer, Internetzugang, HDMI Anschluss, genug Raum für Gruppentische</t>
  </si>
  <si>
    <t xml:space="preserve">Freudenberg Remagen </t>
  </si>
  <si>
    <t xml:space="preserve">Ausbildung und duales Studium im Bereich Metall und Elektronik </t>
  </si>
  <si>
    <t>Groß Alexander, Ausbildungsleiter</t>
  </si>
  <si>
    <t>Sinziger Str.47</t>
  </si>
  <si>
    <t xml:space="preserve">53424 Remagen </t>
  </si>
  <si>
    <t>02642933184</t>
  </si>
  <si>
    <t>alexander.gross@fst.com</t>
  </si>
  <si>
    <t>Sparkasse Neuwied</t>
  </si>
  <si>
    <t xml:space="preserve">Bankkaufleute </t>
  </si>
  <si>
    <t xml:space="preserve">Anne Bollinger Personalbetreuung </t>
  </si>
  <si>
    <t>Hermannstr. 20</t>
  </si>
  <si>
    <t>026318064756</t>
  </si>
  <si>
    <t>anne.bollinger@sparkasse-neuwied.de</t>
  </si>
  <si>
    <t xml:space="preserve">Bundeswehr </t>
  </si>
  <si>
    <t>Herzchirurgie</t>
  </si>
  <si>
    <t>Endlich-Böse, Matthias / Oberarzt</t>
  </si>
  <si>
    <t>Orsberger Straße, 3</t>
  </si>
  <si>
    <t>53579, Erpel</t>
  </si>
  <si>
    <t>017621623696</t>
  </si>
  <si>
    <t>matthiasendlich@yahoo.de</t>
  </si>
  <si>
    <t>Keine</t>
  </si>
  <si>
    <t>16:15 - 17:00 Uhr; 17:00 - 17:45 Uhr</t>
  </si>
  <si>
    <t>Kitz.Kommunikation GmbH</t>
  </si>
  <si>
    <t xml:space="preserve">Grafikdesigner </t>
  </si>
  <si>
    <t>Wölfl,Simon (Senior Artdirector)</t>
  </si>
  <si>
    <t>Weinbergstraße, r</t>
  </si>
  <si>
    <t>53579 Erpel</t>
  </si>
  <si>
    <t>015116536393</t>
  </si>
  <si>
    <t>simon.design@gmx.de</t>
  </si>
  <si>
    <t>Ein Beamer würde reichen</t>
  </si>
  <si>
    <t>Kita Rappelkiste</t>
  </si>
  <si>
    <t>ErzieherIn</t>
  </si>
  <si>
    <t xml:space="preserve">Kuntze Anka, Praxisanleitung, Fachkraft für Kinderperspektive und Personalrat+ Sina Schmitz Erzieherin </t>
  </si>
  <si>
    <t>Zum schwarzen See 4</t>
  </si>
  <si>
    <t>53547 Dattenberg</t>
  </si>
  <si>
    <t>01717675038</t>
  </si>
  <si>
    <t>anka.kuntze@gmail.com</t>
  </si>
  <si>
    <t>16:15 - 17:00 Uhr</t>
  </si>
  <si>
    <t xml:space="preserve">Benedikt Feltens Events - Schloss Arenfels </t>
  </si>
  <si>
    <t>Eventmanager</t>
  </si>
  <si>
    <t xml:space="preserve">Feltens Benedikt </t>
  </si>
  <si>
    <t>Schloss Arenfels 0</t>
  </si>
  <si>
    <t xml:space="preserve">53557 </t>
  </si>
  <si>
    <t>01738374240</t>
  </si>
  <si>
    <t>benedikt@feltens-events.de</t>
  </si>
  <si>
    <t>Beamer und Leinwand wäre super, im besten Fall mit Sound</t>
  </si>
  <si>
    <t>Fürstlich Wiedisches Forstamt</t>
  </si>
  <si>
    <t>Forstwirtschaft</t>
  </si>
  <si>
    <t>Manns, Benedikt, Forstrevierleiter</t>
  </si>
  <si>
    <t>Braunsburg 0</t>
  </si>
  <si>
    <t>56584 Anhausen</t>
  </si>
  <si>
    <t>01709210126</t>
  </si>
  <si>
    <t>bmanns@zuwied.net</t>
  </si>
  <si>
    <t>Halterung für Plakat</t>
  </si>
  <si>
    <t>Hochschuele Koblenz</t>
  </si>
  <si>
    <t>Sportmanagement</t>
  </si>
  <si>
    <t>Sebastian Schneider, wiss. Mitarbeiter, Studiengangkoordinator</t>
  </si>
  <si>
    <t>53424 Remagen</t>
  </si>
  <si>
    <t>02462 932 442</t>
  </si>
  <si>
    <t>schneider1@hs-koblenz.de</t>
  </si>
  <si>
    <t xml:space="preserve">Falls weitere Personen der HS Koblenz, insbesondere des RheinAhrCampus Remagen vor Ort sein sollten, könnte man den Platz gemeinsam nutzen. </t>
  </si>
  <si>
    <t>Vorname</t>
  </si>
  <si>
    <t>Nachname</t>
  </si>
  <si>
    <t>Position</t>
  </si>
  <si>
    <t>Organisation</t>
  </si>
  <si>
    <t>Slogan</t>
  </si>
  <si>
    <t>Biografie</t>
  </si>
  <si>
    <t>NAME_POSITION</t>
  </si>
  <si>
    <t>Titel</t>
  </si>
  <si>
    <t>Anrede</t>
  </si>
  <si>
    <t>Anmerkung</t>
  </si>
  <si>
    <t>Stephan</t>
  </si>
  <si>
    <t>Arens</t>
  </si>
  <si>
    <t>Dr. Prof.</t>
  </si>
  <si>
    <t>Martin</t>
  </si>
  <si>
    <t>Schäfer</t>
  </si>
  <si>
    <t>Projektleitung finanzielle Förderung</t>
  </si>
  <si>
    <t>Anke</t>
  </si>
  <si>
    <t>Pagels-Kerp</t>
  </si>
  <si>
    <t>Raumfahrtvorstand</t>
  </si>
  <si>
    <t>Christian</t>
  </si>
  <si>
    <t>Schneider</t>
  </si>
  <si>
    <t>Angestellter</t>
  </si>
  <si>
    <t>Kein Name erkennbar, nur Funktionsbeschreibung</t>
  </si>
  <si>
    <t>Kein Name erkennbar – Einrichtungsbezeichnung: "Verbundkrankenhaus Linz-Remagen/ Pflegefachschule Linz-Remagen"</t>
  </si>
  <si>
    <t>Bianca</t>
  </si>
  <si>
    <t>König</t>
  </si>
  <si>
    <t>Recruiting/Personalgewinnung</t>
  </si>
  <si>
    <t>Kira</t>
  </si>
  <si>
    <t>Brauer</t>
  </si>
  <si>
    <t>Luci</t>
  </si>
  <si>
    <t>Diederich</t>
  </si>
  <si>
    <t>Teil der Geschäftsleitung / Leitung Qualitätsmanagement, Qualitätssicherung &amp; Produktentwicklung</t>
  </si>
  <si>
    <t>Sarah</t>
  </si>
  <si>
    <t>Kloth</t>
  </si>
  <si>
    <t>Florian</t>
  </si>
  <si>
    <t>Metzler</t>
  </si>
  <si>
    <t>Leiter des BZs</t>
  </si>
  <si>
    <t>Michael</t>
  </si>
  <si>
    <t>Jung</t>
  </si>
  <si>
    <t>Geschäftsstellenleiter</t>
  </si>
  <si>
    <t>weitere Person: Florian Heumann, Organisationsleiter</t>
  </si>
  <si>
    <t>David</t>
  </si>
  <si>
    <t>Pütz</t>
  </si>
  <si>
    <t>nebenamtlicher Einstellungsberater</t>
  </si>
  <si>
    <t>Andreas</t>
  </si>
  <si>
    <t>Teamleiter Ausbildung</t>
  </si>
  <si>
    <t>Diesner</t>
  </si>
  <si>
    <t>Polizeihauptkommissar</t>
  </si>
  <si>
    <t>Mario</t>
  </si>
  <si>
    <t>Diede</t>
  </si>
  <si>
    <t>Chemikant</t>
  </si>
  <si>
    <t>Aus Sammelzeile "Vorstellung durch die Ausbilder!..."; weitere Personen: Vitali Huse (Fachlagerist/Fachkraft Lagerlogistik), Dirk Bach (Fachinformatiker für Systemintegration)</t>
  </si>
  <si>
    <t>Margarete</t>
  </si>
  <si>
    <t>Isaak</t>
  </si>
  <si>
    <t>Mitglied im Ausbildungsteam des FA Neuwied</t>
  </si>
  <si>
    <t>Frank</t>
  </si>
  <si>
    <t>Bensch</t>
  </si>
  <si>
    <t>Dr.</t>
  </si>
  <si>
    <t>Deutscher Delegierter bei der Europäischen Weltraumagentur ESA, Fachgruppenleiter Satkom Europäische Programme</t>
  </si>
  <si>
    <t>Andrea</t>
  </si>
  <si>
    <t>Schlüter</t>
  </si>
  <si>
    <t>Pascal</t>
  </si>
  <si>
    <t>Labonde</t>
  </si>
  <si>
    <t>Manuela</t>
  </si>
  <si>
    <t>Schützeichel</t>
  </si>
  <si>
    <t>stellv. Personalleitung / Ausbildungsleitung</t>
  </si>
  <si>
    <t>Markus</t>
  </si>
  <si>
    <t>Bouillon</t>
  </si>
  <si>
    <t>Lisa</t>
  </si>
  <si>
    <t>Kunkel</t>
  </si>
  <si>
    <t>Büroleitung Karriereberatungsbüro Bonn</t>
  </si>
  <si>
    <t>Philip</t>
  </si>
  <si>
    <t>Born</t>
  </si>
  <si>
    <t>Professor für Physik</t>
  </si>
  <si>
    <t>Princilia</t>
  </si>
  <si>
    <t>Weber</t>
  </si>
  <si>
    <t>Wissenschaftliche Mitarbeiterin des Studiengangs Management, Führung, Innovation</t>
  </si>
  <si>
    <t>Klammer im Original nicht geschlossen</t>
  </si>
  <si>
    <t>Alexander</t>
  </si>
  <si>
    <t>Groß</t>
  </si>
  <si>
    <t>Ausbildungsleiter</t>
  </si>
  <si>
    <t>Reihenfolge im Original unklar ("Groß Alexander" – ungewöhnlich); hier als Vorname Alexander, Nachname Groß interpretiert</t>
  </si>
  <si>
    <t>Anne</t>
  </si>
  <si>
    <t>Bollinger</t>
  </si>
  <si>
    <t>Personalbetreuung</t>
  </si>
  <si>
    <t>Matthias</t>
  </si>
  <si>
    <t>Endlich-Böse</t>
  </si>
  <si>
    <t>Oberarzt</t>
  </si>
  <si>
    <t>Simon</t>
  </si>
  <si>
    <t>Wölfl</t>
  </si>
  <si>
    <t>Senior Artdirector</t>
  </si>
  <si>
    <t>Anka</t>
  </si>
  <si>
    <t>Kuntze</t>
  </si>
  <si>
    <t>Praxisanleitung, Fachkraft für Kinderperspektive und Personalrat</t>
  </si>
  <si>
    <t>weitere Person: Sina Schmitz, Erzieherin</t>
  </si>
  <si>
    <t>Benedikt</t>
  </si>
  <si>
    <t>Feltens</t>
  </si>
  <si>
    <t>Manns</t>
  </si>
  <si>
    <t>Forstrevierleiter</t>
  </si>
  <si>
    <t>Sebastian</t>
  </si>
  <si>
    <t>wiss. Mitarbeiter, Studiengangkoordinator</t>
  </si>
  <si>
    <t>Key</t>
  </si>
  <si>
    <t>CSV</t>
  </si>
  <si>
    <t>Katharina</t>
  </si>
  <si>
    <t>Heidrich</t>
  </si>
  <si>
    <t>Madleen</t>
  </si>
  <si>
    <t>istPflicht</t>
  </si>
  <si>
    <t>Referent_Email</t>
  </si>
  <si>
    <t>wahlSlots</t>
  </si>
  <si>
    <t>Inhalt</t>
  </si>
  <si>
    <t>wiederholbar</t>
  </si>
  <si>
    <t>maxWiederholungen</t>
  </si>
  <si>
    <t>Pflichtgruppe</t>
  </si>
  <si>
    <t>Pflichtraum</t>
  </si>
  <si>
    <t>Pflichtslot</t>
  </si>
  <si>
    <t>Ausstattung</t>
  </si>
  <si>
    <t>Berufsfeld</t>
  </si>
  <si>
    <t>false</t>
  </si>
  <si>
    <t>true</t>
  </si>
  <si>
    <t>1,2,3,4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</si>
</sst>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64"/>
      <name val="Calibri"/>
    </font>
    <font>
      <sz val="11"/>
      <color indexed="64"/>
      <name val="Calibri"/>
      <family val="2"/>
    </font>
    <font>
      <sz val="11"/>
      <name val="Arial"/>
      <family val="2"/>
    </font>
    <font>
      <b/>
      <sz val="14"/>
      <color indexed="64"/>
      <name val="Calibri (Textkörper)"/>
    </font>
    <font>
      <b/>
      <sz val="14"/>
      <color theme="1"/>
      <name val="Calibri (Textkörper)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shrinkToFit="1"/>
    </xf>
    <xf numFmtId="0" fontId="3" fillId="0" borderId="0" xfId="0" applyFont="1" applyAlignment="1">
      <alignment shrinkToFit="1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/>
  </cellXfs>
  <cellStyles count="1">
    <cellStyle name="Standard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4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C27506-340E-5148-85A6-1783274B4FFB}" name="Tabelle1" displayName="Tabelle1" ref="A1:G34" totalsRowShown="0" headerRowDxfId="7" dataDxfId="6">
  <autoFilter ref="A1:G34" xr:uid="{C1C27506-340E-5148-85A6-1783274B4FFB}"/>
  <tableColumns count="7">
    <tableColumn id="1" xr3:uid="{60CCA6CA-3DDE-704C-BB28-87990409E8AB}" name="NAME_POSITION"/>
    <tableColumn id="2" xr3:uid="{6EDC7832-EEC4-5248-A8E3-D698D1C06FAC}" name="Vorname" dataDxfId="5"/>
    <tableColumn id="3" xr3:uid="{E2DDEAFB-E2AA-3841-B75C-83BD0DD6D76D}" name="Nachname" dataDxfId="4"/>
    <tableColumn id="4" xr3:uid="{0EF3BE2A-93F1-0548-87BE-77F33C3B97D0}" name="Anrede" dataDxfId="3"/>
    <tableColumn id="5" xr3:uid="{928EF7B3-EEBA-4848-90C9-14FC3F11FE23}" name="Titel" dataDxfId="2"/>
    <tableColumn id="6" xr3:uid="{438D4C83-89E6-AD45-B9C1-7C8AC200627F}" name="Position" dataDxfId="1"/>
    <tableColumn id="7" xr3:uid="{3D17BC25-EE2D-844F-9FBE-61E4242EED41}" name="Anmerku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workbookViewId="0">
      <selection activeCell="B40" sqref="B40"/>
    </sheetView>
  </sheetViews>
  <sheetFormatPr baseColWidth="10" defaultColWidth="8.83203125" defaultRowHeight="15" x14ac:dyDescent="0.2"/>
  <cols>
    <col min="1" max="1" width="28.6640625" customWidth="1"/>
    <col min="2" max="2" width="59" customWidth="1"/>
    <col min="3" max="3" width="45.5" customWidth="1"/>
    <col min="4" max="4" width="33.1640625" customWidth="1"/>
    <col min="5" max="5" width="22.33203125" customWidth="1"/>
    <col min="6" max="6" width="16.1640625" customWidth="1"/>
    <col min="7" max="7" width="39.5" customWidth="1"/>
    <col min="8" max="8" width="27" customWidth="1"/>
    <col min="9" max="9" width="67.1640625" customWidth="1"/>
    <col min="10" max="10" width="13.33203125" customWidth="1"/>
    <col min="11" max="11" width="12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8</v>
      </c>
      <c r="L1" t="s">
        <v>8</v>
      </c>
    </row>
    <row r="2" spans="1:12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2" x14ac:dyDescent="0.2">
      <c r="A3" t="s">
        <v>18</v>
      </c>
      <c r="B3" t="s">
        <v>19</v>
      </c>
      <c r="C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L3" t="s">
        <v>26</v>
      </c>
    </row>
    <row r="4" spans="1:12" x14ac:dyDescent="0.2">
      <c r="A4" t="s">
        <v>27</v>
      </c>
      <c r="B4" t="s">
        <v>28</v>
      </c>
      <c r="C4" t="s">
        <v>29</v>
      </c>
      <c r="D4" t="s">
        <v>30</v>
      </c>
      <c r="E4" t="s">
        <v>21</v>
      </c>
      <c r="F4" t="s">
        <v>31</v>
      </c>
      <c r="G4" t="s">
        <v>32</v>
      </c>
      <c r="H4" t="s">
        <v>33</v>
      </c>
      <c r="I4" t="s">
        <v>25</v>
      </c>
    </row>
    <row r="5" spans="1:12" x14ac:dyDescent="0.2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33</v>
      </c>
      <c r="I5" t="s">
        <v>41</v>
      </c>
    </row>
    <row r="6" spans="1:12" x14ac:dyDescent="0.2">
      <c r="A6" t="s">
        <v>42</v>
      </c>
      <c r="B6" t="s">
        <v>43</v>
      </c>
      <c r="C6" t="s">
        <v>44</v>
      </c>
      <c r="D6" t="s">
        <v>37</v>
      </c>
      <c r="E6" t="s">
        <v>45</v>
      </c>
      <c r="F6" t="s">
        <v>46</v>
      </c>
      <c r="G6" t="s">
        <v>47</v>
      </c>
      <c r="H6" t="s">
        <v>48</v>
      </c>
      <c r="I6" t="s">
        <v>25</v>
      </c>
      <c r="J6" t="s">
        <v>49</v>
      </c>
      <c r="K6" t="s">
        <v>49</v>
      </c>
      <c r="L6" t="s">
        <v>50</v>
      </c>
    </row>
    <row r="7" spans="1:12" x14ac:dyDescent="0.2">
      <c r="A7" t="s">
        <v>51</v>
      </c>
      <c r="B7" t="s">
        <v>52</v>
      </c>
      <c r="C7" t="s">
        <v>51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41</v>
      </c>
      <c r="J7" t="s">
        <v>58</v>
      </c>
      <c r="K7" t="s">
        <v>49</v>
      </c>
      <c r="L7" t="s">
        <v>59</v>
      </c>
    </row>
    <row r="8" spans="1:12" x14ac:dyDescent="0.2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J8" t="s">
        <v>68</v>
      </c>
      <c r="L8" t="s">
        <v>69</v>
      </c>
    </row>
    <row r="9" spans="1:12" x14ac:dyDescent="0.2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L9" t="s">
        <v>77</v>
      </c>
    </row>
    <row r="10" spans="1:12" x14ac:dyDescent="0.2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33</v>
      </c>
      <c r="I10" t="s">
        <v>41</v>
      </c>
      <c r="J10" t="s">
        <v>58</v>
      </c>
      <c r="K10" t="s">
        <v>49</v>
      </c>
      <c r="L10" t="s">
        <v>85</v>
      </c>
    </row>
    <row r="11" spans="1:12" x14ac:dyDescent="0.2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</row>
    <row r="12" spans="1:12" x14ac:dyDescent="0.2">
      <c r="A12" t="s">
        <v>95</v>
      </c>
      <c r="B12" t="s">
        <v>96</v>
      </c>
      <c r="C12" t="s">
        <v>97</v>
      </c>
      <c r="D12" t="s">
        <v>98</v>
      </c>
      <c r="E12" t="s">
        <v>64</v>
      </c>
      <c r="F12" t="s">
        <v>99</v>
      </c>
      <c r="G12" t="s">
        <v>100</v>
      </c>
      <c r="I12" t="s">
        <v>41</v>
      </c>
      <c r="J12" t="s">
        <v>101</v>
      </c>
      <c r="K12" t="s">
        <v>68</v>
      </c>
    </row>
    <row r="13" spans="1:12" x14ac:dyDescent="0.2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33</v>
      </c>
      <c r="I13" t="s">
        <v>94</v>
      </c>
      <c r="J13" t="s">
        <v>58</v>
      </c>
      <c r="K13" t="s">
        <v>109</v>
      </c>
    </row>
    <row r="14" spans="1:12" x14ac:dyDescent="0.2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41</v>
      </c>
    </row>
    <row r="15" spans="1:12" x14ac:dyDescent="0.2">
      <c r="A15" t="s">
        <v>118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I15" t="s">
        <v>41</v>
      </c>
      <c r="J15" t="s">
        <v>49</v>
      </c>
      <c r="K15" t="s">
        <v>101</v>
      </c>
      <c r="L15" t="s">
        <v>125</v>
      </c>
    </row>
    <row r="16" spans="1:12" x14ac:dyDescent="0.2">
      <c r="A16" t="s">
        <v>126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132</v>
      </c>
      <c r="H16" t="s">
        <v>133</v>
      </c>
      <c r="I16" t="s">
        <v>41</v>
      </c>
    </row>
    <row r="17" spans="1:12" x14ac:dyDescent="0.2">
      <c r="A17" t="s">
        <v>134</v>
      </c>
      <c r="B17" t="s">
        <v>135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33</v>
      </c>
      <c r="I17" t="s">
        <v>17</v>
      </c>
    </row>
    <row r="18" spans="1:12" x14ac:dyDescent="0.2">
      <c r="A18" t="s">
        <v>141</v>
      </c>
      <c r="B18" t="s">
        <v>142</v>
      </c>
      <c r="C18" t="s">
        <v>143</v>
      </c>
      <c r="D18" t="s">
        <v>144</v>
      </c>
      <c r="E18" t="s">
        <v>106</v>
      </c>
      <c r="F18" t="s">
        <v>145</v>
      </c>
      <c r="G18" t="s">
        <v>146</v>
      </c>
      <c r="H18" t="s">
        <v>147</v>
      </c>
      <c r="I18" t="s">
        <v>148</v>
      </c>
    </row>
    <row r="19" spans="1:12" x14ac:dyDescent="0.2">
      <c r="A19" t="s">
        <v>149</v>
      </c>
      <c r="B19" t="s">
        <v>150</v>
      </c>
      <c r="C19" t="s">
        <v>151</v>
      </c>
      <c r="D19" t="s">
        <v>152</v>
      </c>
      <c r="E19" t="s">
        <v>153</v>
      </c>
      <c r="F19" t="s">
        <v>154</v>
      </c>
      <c r="G19" t="s">
        <v>155</v>
      </c>
      <c r="H19" t="s">
        <v>156</v>
      </c>
      <c r="I19" t="s">
        <v>25</v>
      </c>
    </row>
    <row r="20" spans="1:12" x14ac:dyDescent="0.2">
      <c r="A20" t="s">
        <v>157</v>
      </c>
      <c r="B20" t="s">
        <v>158</v>
      </c>
      <c r="C20" t="s">
        <v>159</v>
      </c>
      <c r="D20" t="s">
        <v>160</v>
      </c>
      <c r="E20" t="s">
        <v>114</v>
      </c>
      <c r="F20" t="s">
        <v>161</v>
      </c>
      <c r="G20" t="s">
        <v>162</v>
      </c>
      <c r="I20" t="s">
        <v>17</v>
      </c>
      <c r="J20" t="s">
        <v>58</v>
      </c>
      <c r="K20" t="s">
        <v>49</v>
      </c>
    </row>
    <row r="21" spans="1:12" x14ac:dyDescent="0.2">
      <c r="A21" t="s">
        <v>157</v>
      </c>
      <c r="B21" t="s">
        <v>163</v>
      </c>
      <c r="C21" t="s">
        <v>164</v>
      </c>
      <c r="D21" t="s">
        <v>160</v>
      </c>
      <c r="E21" t="s">
        <v>114</v>
      </c>
      <c r="F21" t="s">
        <v>165</v>
      </c>
      <c r="G21" t="s">
        <v>166</v>
      </c>
      <c r="I21" t="s">
        <v>41</v>
      </c>
      <c r="J21" t="s">
        <v>58</v>
      </c>
      <c r="K21" t="s">
        <v>58</v>
      </c>
    </row>
    <row r="22" spans="1:12" x14ac:dyDescent="0.2">
      <c r="A22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J22" t="s">
        <v>58</v>
      </c>
      <c r="K22" t="s">
        <v>49</v>
      </c>
      <c r="L22" t="s">
        <v>174</v>
      </c>
    </row>
    <row r="23" spans="1:12" x14ac:dyDescent="0.2">
      <c r="A23" t="s">
        <v>175</v>
      </c>
      <c r="B23" t="s">
        <v>176</v>
      </c>
      <c r="C23" t="s">
        <v>177</v>
      </c>
      <c r="D23" t="s">
        <v>178</v>
      </c>
      <c r="E23" t="s">
        <v>21</v>
      </c>
      <c r="F23" t="s">
        <v>179</v>
      </c>
      <c r="G23" t="s">
        <v>180</v>
      </c>
      <c r="J23" t="s">
        <v>109</v>
      </c>
      <c r="K23" t="s">
        <v>109</v>
      </c>
      <c r="L23" t="s">
        <v>181</v>
      </c>
    </row>
    <row r="24" spans="1:12" x14ac:dyDescent="0.2">
      <c r="A24" t="s">
        <v>182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33</v>
      </c>
      <c r="I24" t="s">
        <v>41</v>
      </c>
      <c r="J24" t="s">
        <v>58</v>
      </c>
      <c r="K24" t="s">
        <v>68</v>
      </c>
      <c r="L24" t="s">
        <v>189</v>
      </c>
    </row>
    <row r="25" spans="1:12" x14ac:dyDescent="0.2">
      <c r="A25" t="s">
        <v>190</v>
      </c>
      <c r="B25" t="s">
        <v>191</v>
      </c>
      <c r="C25" t="s">
        <v>192</v>
      </c>
      <c r="D25" t="s">
        <v>193</v>
      </c>
      <c r="E25" t="s">
        <v>194</v>
      </c>
      <c r="F25" t="s">
        <v>195</v>
      </c>
      <c r="G25" t="s">
        <v>196</v>
      </c>
      <c r="H25" t="s">
        <v>33</v>
      </c>
      <c r="I25" t="s">
        <v>25</v>
      </c>
    </row>
    <row r="26" spans="1:12" x14ac:dyDescent="0.2">
      <c r="A26" t="s">
        <v>197</v>
      </c>
      <c r="B26" t="s">
        <v>198</v>
      </c>
      <c r="C26" t="s">
        <v>199</v>
      </c>
      <c r="D26" t="s">
        <v>200</v>
      </c>
      <c r="E26" t="s">
        <v>201</v>
      </c>
      <c r="F26" t="s">
        <v>202</v>
      </c>
      <c r="G26" t="s">
        <v>203</v>
      </c>
      <c r="H26" t="s">
        <v>204</v>
      </c>
      <c r="I26" t="s">
        <v>17</v>
      </c>
    </row>
    <row r="27" spans="1:12" x14ac:dyDescent="0.2">
      <c r="A27" t="s">
        <v>205</v>
      </c>
      <c r="B27" t="s">
        <v>206</v>
      </c>
      <c r="C27" t="s">
        <v>207</v>
      </c>
      <c r="D27" t="s">
        <v>208</v>
      </c>
      <c r="E27" t="s">
        <v>209</v>
      </c>
      <c r="F27" t="s">
        <v>210</v>
      </c>
      <c r="G27" t="s">
        <v>211</v>
      </c>
      <c r="J27" t="s">
        <v>58</v>
      </c>
      <c r="K27" t="s">
        <v>49</v>
      </c>
    </row>
    <row r="28" spans="1:12" x14ac:dyDescent="0.2">
      <c r="A28" t="s">
        <v>212</v>
      </c>
      <c r="B28" t="s">
        <v>213</v>
      </c>
      <c r="C28" t="s">
        <v>214</v>
      </c>
      <c r="D28" t="s">
        <v>215</v>
      </c>
      <c r="E28" t="s">
        <v>106</v>
      </c>
      <c r="F28" t="s">
        <v>216</v>
      </c>
      <c r="G28" t="s">
        <v>217</v>
      </c>
      <c r="H28" t="s">
        <v>33</v>
      </c>
      <c r="I28" t="s">
        <v>41</v>
      </c>
    </row>
    <row r="29" spans="1:12" x14ac:dyDescent="0.2">
      <c r="A29" t="s">
        <v>218</v>
      </c>
      <c r="B29" t="s">
        <v>219</v>
      </c>
      <c r="C29" t="s">
        <v>220</v>
      </c>
      <c r="D29" t="s">
        <v>221</v>
      </c>
      <c r="E29" t="s">
        <v>222</v>
      </c>
      <c r="F29" t="s">
        <v>223</v>
      </c>
      <c r="G29" t="s">
        <v>224</v>
      </c>
      <c r="H29" t="s">
        <v>225</v>
      </c>
      <c r="I29" t="s">
        <v>226</v>
      </c>
    </row>
    <row r="30" spans="1:12" x14ac:dyDescent="0.2">
      <c r="A30" t="s">
        <v>227</v>
      </c>
      <c r="B30" t="s">
        <v>228</v>
      </c>
      <c r="C30" t="s">
        <v>229</v>
      </c>
      <c r="D30" t="s">
        <v>230</v>
      </c>
      <c r="E30" t="s">
        <v>231</v>
      </c>
      <c r="F30" t="s">
        <v>232</v>
      </c>
      <c r="G30" t="s">
        <v>233</v>
      </c>
      <c r="H30" t="s">
        <v>234</v>
      </c>
      <c r="I30" t="s">
        <v>25</v>
      </c>
    </row>
    <row r="31" spans="1:12" x14ac:dyDescent="0.2">
      <c r="A31" t="s">
        <v>235</v>
      </c>
      <c r="B31" t="s">
        <v>236</v>
      </c>
      <c r="C31" t="s">
        <v>237</v>
      </c>
      <c r="D31" t="s">
        <v>238</v>
      </c>
      <c r="E31" t="s">
        <v>239</v>
      </c>
      <c r="F31" t="s">
        <v>240</v>
      </c>
      <c r="G31" t="s">
        <v>241</v>
      </c>
      <c r="H31" t="s">
        <v>33</v>
      </c>
      <c r="I31" t="s">
        <v>242</v>
      </c>
    </row>
    <row r="32" spans="1:12" x14ac:dyDescent="0.2">
      <c r="A32" t="s">
        <v>243</v>
      </c>
      <c r="B32" t="s">
        <v>244</v>
      </c>
      <c r="C32" t="s">
        <v>245</v>
      </c>
      <c r="D32" t="s">
        <v>246</v>
      </c>
      <c r="E32" t="s">
        <v>247</v>
      </c>
      <c r="F32" t="s">
        <v>248</v>
      </c>
      <c r="G32" t="s">
        <v>249</v>
      </c>
      <c r="H32" t="s">
        <v>250</v>
      </c>
      <c r="I32" t="s">
        <v>41</v>
      </c>
    </row>
    <row r="33" spans="1:12" x14ac:dyDescent="0.2">
      <c r="A33" t="s">
        <v>251</v>
      </c>
      <c r="B33" t="s">
        <v>252</v>
      </c>
      <c r="C33" t="s">
        <v>253</v>
      </c>
      <c r="D33" t="s">
        <v>254</v>
      </c>
      <c r="E33" t="s">
        <v>255</v>
      </c>
      <c r="F33" t="s">
        <v>256</v>
      </c>
      <c r="G33" t="s">
        <v>257</v>
      </c>
      <c r="J33" t="s">
        <v>109</v>
      </c>
      <c r="K33" t="s">
        <v>101</v>
      </c>
      <c r="L33" t="s">
        <v>258</v>
      </c>
    </row>
    <row r="34" spans="1:12" x14ac:dyDescent="0.2">
      <c r="A34" t="s">
        <v>259</v>
      </c>
      <c r="B34" t="s">
        <v>260</v>
      </c>
      <c r="C34" t="s">
        <v>261</v>
      </c>
      <c r="D34" t="s">
        <v>200</v>
      </c>
      <c r="E34" t="s">
        <v>262</v>
      </c>
      <c r="F34" t="s">
        <v>263</v>
      </c>
      <c r="G34" t="s">
        <v>264</v>
      </c>
      <c r="H34" t="s">
        <v>33</v>
      </c>
      <c r="I34" t="s">
        <v>41</v>
      </c>
      <c r="J34" t="s">
        <v>58</v>
      </c>
      <c r="K34" t="s">
        <v>58</v>
      </c>
      <c r="L34" t="s">
        <v>265</v>
      </c>
    </row>
  </sheetData>
  <pageMargins left="0.70078740157480002" right="0.70078740157480002" top="0.75196850393700987" bottom="0.75196850393700987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27A9-C7A7-9749-8DE3-8D373218458E}">
  <dimension ref="A1:G34"/>
  <sheetViews>
    <sheetView workbookViewId="0">
      <selection activeCell="G27" sqref="G27"/>
    </sheetView>
  </sheetViews>
  <sheetFormatPr baseColWidth="10" defaultRowHeight="15" x14ac:dyDescent="0.2"/>
  <cols>
    <col min="1" max="1" width="121.5" bestFit="1" customWidth="1"/>
    <col min="2" max="2" width="10.6640625" customWidth="1"/>
    <col min="3" max="3" width="12" bestFit="1" customWidth="1"/>
    <col min="4" max="4" width="9.33203125" customWidth="1"/>
    <col min="5" max="5" width="8" bestFit="1" customWidth="1"/>
    <col min="6" max="6" width="44.83203125" style="7" customWidth="1"/>
    <col min="7" max="7" width="48.1640625" style="7" customWidth="1"/>
  </cols>
  <sheetData>
    <row r="1" spans="1:7" ht="16" x14ac:dyDescent="0.2">
      <c r="A1" s="1" t="s">
        <v>272</v>
      </c>
      <c r="B1" s="1" t="s">
        <v>266</v>
      </c>
      <c r="C1" s="1" t="s">
        <v>267</v>
      </c>
      <c r="D1" s="1" t="s">
        <v>274</v>
      </c>
      <c r="E1" s="1" t="s">
        <v>273</v>
      </c>
      <c r="F1" s="6" t="s">
        <v>268</v>
      </c>
      <c r="G1" s="6" t="s">
        <v>275</v>
      </c>
    </row>
    <row r="2" spans="1:7" x14ac:dyDescent="0.2">
      <c r="A2" t="s">
        <v>11</v>
      </c>
      <c r="B2" s="2" t="s">
        <v>276</v>
      </c>
      <c r="C2" s="2" t="s">
        <v>277</v>
      </c>
      <c r="D2" s="2"/>
      <c r="E2" s="2" t="s">
        <v>278</v>
      </c>
      <c r="F2" s="3"/>
      <c r="G2" s="3"/>
    </row>
    <row r="3" spans="1:7" x14ac:dyDescent="0.2">
      <c r="A3" t="s">
        <v>20</v>
      </c>
      <c r="B3" s="2" t="s">
        <v>279</v>
      </c>
      <c r="C3" s="2" t="s">
        <v>280</v>
      </c>
      <c r="D3" s="2"/>
      <c r="E3" s="2"/>
      <c r="F3" s="3" t="s">
        <v>281</v>
      </c>
      <c r="G3" s="3"/>
    </row>
    <row r="4" spans="1:7" x14ac:dyDescent="0.2">
      <c r="A4" t="s">
        <v>29</v>
      </c>
      <c r="B4" s="2" t="s">
        <v>282</v>
      </c>
      <c r="C4" s="2" t="s">
        <v>283</v>
      </c>
      <c r="D4" s="2"/>
      <c r="E4" s="2"/>
      <c r="F4" s="3" t="s">
        <v>284</v>
      </c>
      <c r="G4" s="3"/>
    </row>
    <row r="5" spans="1:7" x14ac:dyDescent="0.2">
      <c r="A5" t="s">
        <v>36</v>
      </c>
      <c r="B5" s="2" t="s">
        <v>285</v>
      </c>
      <c r="C5" s="2" t="s">
        <v>286</v>
      </c>
      <c r="D5" s="2"/>
      <c r="E5" s="2"/>
      <c r="F5" s="3" t="s">
        <v>287</v>
      </c>
      <c r="G5" s="3"/>
    </row>
    <row r="6" spans="1:7" x14ac:dyDescent="0.2">
      <c r="A6" t="s">
        <v>44</v>
      </c>
      <c r="B6" s="4"/>
      <c r="C6" s="4"/>
      <c r="D6" s="4"/>
      <c r="E6" s="4"/>
      <c r="F6" s="5" t="s">
        <v>44</v>
      </c>
      <c r="G6" s="5" t="s">
        <v>288</v>
      </c>
    </row>
    <row r="7" spans="1:7" ht="45" x14ac:dyDescent="0.2">
      <c r="A7" t="s">
        <v>51</v>
      </c>
      <c r="B7" s="4"/>
      <c r="C7" s="4"/>
      <c r="D7" s="4"/>
      <c r="E7" s="4"/>
      <c r="F7" s="5"/>
      <c r="G7" s="5" t="s">
        <v>289</v>
      </c>
    </row>
    <row r="8" spans="1:7" x14ac:dyDescent="0.2">
      <c r="A8" t="s">
        <v>62</v>
      </c>
      <c r="B8" s="2" t="s">
        <v>290</v>
      </c>
      <c r="C8" s="2" t="s">
        <v>291</v>
      </c>
      <c r="D8" s="2"/>
      <c r="E8" s="2"/>
      <c r="F8" s="3" t="s">
        <v>292</v>
      </c>
      <c r="G8" s="3"/>
    </row>
    <row r="9" spans="1:7" x14ac:dyDescent="0.2">
      <c r="A9" t="s">
        <v>72</v>
      </c>
      <c r="B9" s="2" t="s">
        <v>293</v>
      </c>
      <c r="C9" s="2" t="s">
        <v>294</v>
      </c>
      <c r="D9" s="2"/>
      <c r="E9" s="2"/>
      <c r="F9" s="3"/>
      <c r="G9" s="3"/>
    </row>
    <row r="10" spans="1:7" ht="45" x14ac:dyDescent="0.2">
      <c r="A10" t="s">
        <v>80</v>
      </c>
      <c r="B10" s="2" t="s">
        <v>295</v>
      </c>
      <c r="C10" s="2" t="s">
        <v>296</v>
      </c>
      <c r="D10" s="2"/>
      <c r="E10" s="2"/>
      <c r="F10" s="3" t="s">
        <v>297</v>
      </c>
      <c r="G10" s="3"/>
    </row>
    <row r="11" spans="1:7" x14ac:dyDescent="0.2">
      <c r="A11" t="s">
        <v>88</v>
      </c>
      <c r="B11" s="2" t="s">
        <v>298</v>
      </c>
      <c r="C11" s="2" t="s">
        <v>299</v>
      </c>
      <c r="D11" s="2"/>
      <c r="E11" s="2"/>
      <c r="F11" s="3"/>
      <c r="G11" s="3"/>
    </row>
    <row r="12" spans="1:7" x14ac:dyDescent="0.2">
      <c r="A12" t="s">
        <v>97</v>
      </c>
      <c r="B12" s="2" t="s">
        <v>300</v>
      </c>
      <c r="C12" s="2" t="s">
        <v>301</v>
      </c>
      <c r="D12" s="2"/>
      <c r="E12" s="2"/>
      <c r="F12" s="3" t="s">
        <v>302</v>
      </c>
      <c r="G12" s="3"/>
    </row>
    <row r="13" spans="1:7" x14ac:dyDescent="0.2">
      <c r="A13" t="s">
        <v>104</v>
      </c>
      <c r="B13" s="2" t="s">
        <v>303</v>
      </c>
      <c r="C13" s="2" t="s">
        <v>304</v>
      </c>
      <c r="D13" s="2"/>
      <c r="E13" s="2"/>
      <c r="F13" s="3" t="s">
        <v>305</v>
      </c>
      <c r="G13" s="3" t="s">
        <v>306</v>
      </c>
    </row>
    <row r="14" spans="1:7" x14ac:dyDescent="0.2">
      <c r="A14" t="s">
        <v>112</v>
      </c>
      <c r="B14" s="2" t="s">
        <v>307</v>
      </c>
      <c r="C14" s="2" t="s">
        <v>308</v>
      </c>
      <c r="D14" s="2"/>
      <c r="E14" s="2"/>
      <c r="F14" s="3" t="s">
        <v>309</v>
      </c>
      <c r="G14" s="3"/>
    </row>
    <row r="15" spans="1:7" x14ac:dyDescent="0.2">
      <c r="A15" t="s">
        <v>120</v>
      </c>
      <c r="B15" s="2" t="s">
        <v>310</v>
      </c>
      <c r="C15" s="2" t="s">
        <v>286</v>
      </c>
      <c r="D15" s="2"/>
      <c r="E15" s="2"/>
      <c r="F15" s="3" t="s">
        <v>311</v>
      </c>
      <c r="G15" s="3"/>
    </row>
    <row r="16" spans="1:7" x14ac:dyDescent="0.2">
      <c r="A16" t="s">
        <v>128</v>
      </c>
      <c r="B16" s="2" t="s">
        <v>303</v>
      </c>
      <c r="C16" s="2" t="s">
        <v>312</v>
      </c>
      <c r="D16" s="2"/>
      <c r="E16" s="2"/>
      <c r="F16" s="3" t="s">
        <v>313</v>
      </c>
      <c r="G16" s="3"/>
    </row>
    <row r="17" spans="1:7" ht="60" x14ac:dyDescent="0.2">
      <c r="A17" t="s">
        <v>136</v>
      </c>
      <c r="B17" s="2" t="s">
        <v>314</v>
      </c>
      <c r="C17" s="2" t="s">
        <v>315</v>
      </c>
      <c r="D17" s="2"/>
      <c r="E17" s="2"/>
      <c r="F17" s="3" t="s">
        <v>316</v>
      </c>
      <c r="G17" s="3" t="s">
        <v>317</v>
      </c>
    </row>
    <row r="18" spans="1:7" x14ac:dyDescent="0.2">
      <c r="A18" t="s">
        <v>143</v>
      </c>
      <c r="B18" s="2" t="s">
        <v>318</v>
      </c>
      <c r="C18" s="2" t="s">
        <v>319</v>
      </c>
      <c r="D18" s="2"/>
      <c r="E18" s="2"/>
      <c r="F18" s="3" t="s">
        <v>320</v>
      </c>
      <c r="G18" s="3"/>
    </row>
    <row r="19" spans="1:7" ht="45" x14ac:dyDescent="0.2">
      <c r="A19" t="s">
        <v>151</v>
      </c>
      <c r="B19" s="2" t="s">
        <v>321</v>
      </c>
      <c r="C19" s="2" t="s">
        <v>322</v>
      </c>
      <c r="D19" s="2" t="s">
        <v>323</v>
      </c>
      <c r="E19" s="2"/>
      <c r="F19" s="3" t="s">
        <v>324</v>
      </c>
      <c r="G19" s="3"/>
    </row>
    <row r="20" spans="1:7" x14ac:dyDescent="0.2">
      <c r="A20" t="s">
        <v>159</v>
      </c>
      <c r="B20" s="2" t="s">
        <v>325</v>
      </c>
      <c r="C20" s="2" t="s">
        <v>326</v>
      </c>
      <c r="D20" s="2"/>
      <c r="E20" s="2"/>
      <c r="F20" s="3"/>
      <c r="G20" s="3"/>
    </row>
    <row r="21" spans="1:7" x14ac:dyDescent="0.2">
      <c r="A21" t="s">
        <v>164</v>
      </c>
      <c r="B21" s="2" t="s">
        <v>327</v>
      </c>
      <c r="C21" s="2" t="s">
        <v>328</v>
      </c>
      <c r="D21" s="2"/>
      <c r="E21" s="2"/>
      <c r="F21" s="3"/>
      <c r="G21" s="3"/>
    </row>
    <row r="22" spans="1:7" x14ac:dyDescent="0.2">
      <c r="A22" t="s">
        <v>169</v>
      </c>
      <c r="B22" s="2" t="s">
        <v>329</v>
      </c>
      <c r="C22" s="2" t="s">
        <v>330</v>
      </c>
      <c r="D22" s="2"/>
      <c r="E22" s="2"/>
      <c r="F22" s="3" t="s">
        <v>331</v>
      </c>
      <c r="G22" s="3"/>
    </row>
    <row r="23" spans="1:7" x14ac:dyDescent="0.2">
      <c r="A23" t="s">
        <v>177</v>
      </c>
      <c r="B23" s="2" t="s">
        <v>332</v>
      </c>
      <c r="C23" s="2" t="s">
        <v>333</v>
      </c>
      <c r="D23" s="2"/>
      <c r="E23" s="2"/>
      <c r="F23" s="3"/>
      <c r="G23" s="3"/>
    </row>
    <row r="24" spans="1:7" x14ac:dyDescent="0.2">
      <c r="A24" t="s">
        <v>184</v>
      </c>
      <c r="B24" s="2" t="s">
        <v>334</v>
      </c>
      <c r="C24" s="2" t="s">
        <v>335</v>
      </c>
      <c r="D24" s="2"/>
      <c r="E24" s="2"/>
      <c r="F24" s="3" t="s">
        <v>336</v>
      </c>
      <c r="G24" s="3"/>
    </row>
    <row r="25" spans="1:7" x14ac:dyDescent="0.2">
      <c r="A25" t="s">
        <v>192</v>
      </c>
      <c r="B25" s="2" t="s">
        <v>337</v>
      </c>
      <c r="C25" s="2" t="s">
        <v>338</v>
      </c>
      <c r="D25" s="2"/>
      <c r="E25" s="2"/>
      <c r="F25" s="3" t="s">
        <v>339</v>
      </c>
      <c r="G25" s="3"/>
    </row>
    <row r="26" spans="1:7" ht="30" x14ac:dyDescent="0.2">
      <c r="A26" t="s">
        <v>199</v>
      </c>
      <c r="B26" s="2" t="s">
        <v>340</v>
      </c>
      <c r="C26" s="2" t="s">
        <v>341</v>
      </c>
      <c r="D26" s="2"/>
      <c r="E26" s="2"/>
      <c r="F26" s="3" t="s">
        <v>342</v>
      </c>
      <c r="G26" s="3" t="s">
        <v>343</v>
      </c>
    </row>
    <row r="27" spans="1:7" ht="45" x14ac:dyDescent="0.2">
      <c r="A27" t="s">
        <v>207</v>
      </c>
      <c r="B27" s="2" t="s">
        <v>344</v>
      </c>
      <c r="C27" s="2" t="s">
        <v>345</v>
      </c>
      <c r="D27" s="2"/>
      <c r="E27" s="2"/>
      <c r="F27" s="3" t="s">
        <v>346</v>
      </c>
      <c r="G27" s="3" t="s">
        <v>347</v>
      </c>
    </row>
    <row r="28" spans="1:7" x14ac:dyDescent="0.2">
      <c r="A28" t="s">
        <v>214</v>
      </c>
      <c r="B28" s="2" t="s">
        <v>348</v>
      </c>
      <c r="C28" s="2" t="s">
        <v>349</v>
      </c>
      <c r="D28" s="2"/>
      <c r="E28" s="2"/>
      <c r="F28" s="3" t="s">
        <v>350</v>
      </c>
      <c r="G28" s="3"/>
    </row>
    <row r="29" spans="1:7" x14ac:dyDescent="0.2">
      <c r="A29" t="s">
        <v>220</v>
      </c>
      <c r="B29" s="2" t="s">
        <v>351</v>
      </c>
      <c r="C29" s="2" t="s">
        <v>352</v>
      </c>
      <c r="D29" s="2"/>
      <c r="E29" s="2"/>
      <c r="F29" s="3" t="s">
        <v>353</v>
      </c>
      <c r="G29" s="3"/>
    </row>
    <row r="30" spans="1:7" x14ac:dyDescent="0.2">
      <c r="A30" t="s">
        <v>229</v>
      </c>
      <c r="B30" s="2" t="s">
        <v>354</v>
      </c>
      <c r="C30" s="2" t="s">
        <v>355</v>
      </c>
      <c r="D30" s="2"/>
      <c r="E30" s="2"/>
      <c r="F30" s="3" t="s">
        <v>356</v>
      </c>
      <c r="G30" s="3"/>
    </row>
    <row r="31" spans="1:7" ht="30" x14ac:dyDescent="0.2">
      <c r="A31" t="s">
        <v>237</v>
      </c>
      <c r="B31" s="2" t="s">
        <v>357</v>
      </c>
      <c r="C31" s="2" t="s">
        <v>358</v>
      </c>
      <c r="D31" s="2"/>
      <c r="E31" s="2"/>
      <c r="F31" s="3" t="s">
        <v>359</v>
      </c>
      <c r="G31" s="3" t="s">
        <v>360</v>
      </c>
    </row>
    <row r="32" spans="1:7" x14ac:dyDescent="0.2">
      <c r="A32" t="s">
        <v>245</v>
      </c>
      <c r="B32" s="2" t="s">
        <v>361</v>
      </c>
      <c r="C32" s="2" t="s">
        <v>362</v>
      </c>
      <c r="D32" s="2"/>
      <c r="E32" s="2"/>
      <c r="F32" s="3"/>
      <c r="G32" s="3"/>
    </row>
    <row r="33" spans="1:7" x14ac:dyDescent="0.2">
      <c r="A33" t="s">
        <v>253</v>
      </c>
      <c r="B33" s="2" t="s">
        <v>361</v>
      </c>
      <c r="C33" s="2" t="s">
        <v>363</v>
      </c>
      <c r="D33" s="2"/>
      <c r="E33" s="2"/>
      <c r="F33" s="3" t="s">
        <v>364</v>
      </c>
      <c r="G33" s="3"/>
    </row>
    <row r="34" spans="1:7" x14ac:dyDescent="0.2">
      <c r="A34" t="s">
        <v>261</v>
      </c>
      <c r="B34" s="2" t="s">
        <v>365</v>
      </c>
      <c r="C34" s="2" t="s">
        <v>286</v>
      </c>
      <c r="D34" s="2"/>
      <c r="E34" s="2"/>
      <c r="F34" s="3" t="s">
        <v>366</v>
      </c>
      <c r="G34" s="3"/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F6AB-154F-F74E-AEBA-1FE81E31057E}">
  <dimension ref="A1:I34"/>
  <sheetViews>
    <sheetView workbookViewId="0">
      <selection activeCell="A34" sqref="A1:A34"/>
    </sheetView>
  </sheetViews>
  <sheetFormatPr baseColWidth="10" defaultRowHeight="15" x14ac:dyDescent="0.2"/>
  <cols>
    <col min="1" max="1" width="70.5" style="8" customWidth="1"/>
    <col min="2" max="2" width="8.83203125" bestFit="1" customWidth="1"/>
    <col min="3" max="3" width="10.6640625" bestFit="1" customWidth="1"/>
    <col min="4" max="4" width="34" bestFit="1" customWidth="1"/>
    <col min="5" max="5" width="55.1640625" style="7" customWidth="1"/>
    <col min="6" max="6" width="53.33203125" bestFit="1" customWidth="1"/>
    <col min="7" max="7" width="6.1640625" bestFit="1" customWidth="1"/>
    <col min="8" max="8" width="7.83203125" bestFit="1" customWidth="1"/>
  </cols>
  <sheetData>
    <row r="1" spans="1:9" ht="20" x14ac:dyDescent="0.25">
      <c r="A1" s="9" t="s">
        <v>367</v>
      </c>
      <c r="B1" s="10" t="s">
        <v>266</v>
      </c>
      <c r="C1" s="11" t="s">
        <v>267</v>
      </c>
      <c r="D1" s="11" t="s">
        <v>6</v>
      </c>
      <c r="E1" s="12" t="s">
        <v>268</v>
      </c>
      <c r="F1" s="11" t="s">
        <v>269</v>
      </c>
      <c r="G1" s="11" t="s">
        <v>270</v>
      </c>
      <c r="H1" s="11" t="s">
        <v>271</v>
      </c>
      <c r="I1" s="11" t="s">
        <v>368</v>
      </c>
    </row>
    <row r="2" spans="1:9" x14ac:dyDescent="0.2">
      <c r="A2" s="8" t="str">
        <f>Worksheet!C2</f>
        <v>Arens, Stephan Dr. Prof.</v>
      </c>
      <c r="B2" t="str">
        <f>VLOOKUP($A2,Tabelle1[#All],2,FALSE)</f>
        <v>Stephan</v>
      </c>
      <c r="C2" t="str">
        <f>VLOOKUP($A2,Tabelle1[#All],3,FALSE)</f>
        <v>Arens</v>
      </c>
      <c r="D2" t="str">
        <f>VLOOKUP($A2,Worksheet!$C$1:$G$34,5,FALSE)</f>
        <v>stephan.arens@th-koeln.de</v>
      </c>
      <c r="E2" s="7">
        <f>VLOOKUP($A2,Tabelle1[#All],6,FALSE)</f>
        <v>0</v>
      </c>
      <c r="F2" t="str">
        <f>_xlfn.XLOOKUP($A2,Worksheet!C:C,Worksheet!A:A)</f>
        <v xml:space="preserve">TH Köln </v>
      </c>
      <c r="I2" t="str">
        <f>_xlfn.TEXTJOIN(";",FALSE,B2:H2)</f>
        <v>Stephan;Arens;stephan.arens@th-koeln.de;0;TH Köln ;;</v>
      </c>
    </row>
    <row r="3" spans="1:9" ht="16" x14ac:dyDescent="0.2">
      <c r="A3" s="8" t="str">
        <f>Worksheet!C3</f>
        <v>Schäfer, Martin (Projektleitung finanzielle Förderung)</v>
      </c>
      <c r="B3" t="str">
        <f>VLOOKUP($A3,Tabelle1[#All],2,FALSE)</f>
        <v>Martin</v>
      </c>
      <c r="C3" t="str">
        <f>VLOOKUP($A3,Tabelle1[#All],3,FALSE)</f>
        <v>Schäfer</v>
      </c>
      <c r="D3" t="str">
        <f>VLOOKUP($A3,Worksheet!$C$1:$G$34,5,FALSE)</f>
        <v>mart.schaefer@gmail.com</v>
      </c>
      <c r="E3" s="7" t="str">
        <f>VLOOKUP($A3,Tabelle1[#All],6,FALSE)</f>
        <v>Projektleitung finanzielle Förderung</v>
      </c>
      <c r="F3" t="str">
        <f>_xlfn.XLOOKUP($A3,Worksheet!C:C,Worksheet!A:A)</f>
        <v>Engagement Global gGmbH</v>
      </c>
      <c r="I3" t="str">
        <f t="shared" ref="I3:I34" si="0">_xlfn.TEXTJOIN(";",FALSE,B3:H3)</f>
        <v>Martin;Schäfer;mart.schaefer@gmail.com;Projektleitung finanzielle Förderung;Engagement Global gGmbH;;</v>
      </c>
    </row>
    <row r="4" spans="1:9" ht="16" x14ac:dyDescent="0.2">
      <c r="A4" s="8" t="str">
        <f>Worksheet!C4</f>
        <v>Anke Pagels-Kerp, Raumfahrtvorstand</v>
      </c>
      <c r="B4" t="str">
        <f>VLOOKUP($A4,Tabelle1[#All],2,FALSE)</f>
        <v>Anke</v>
      </c>
      <c r="C4" t="str">
        <f>VLOOKUP($A4,Tabelle1[#All],3,FALSE)</f>
        <v>Pagels-Kerp</v>
      </c>
      <c r="D4" t="str">
        <f>VLOOKUP($A4,Worksheet!$C$1:$G$34,5,FALSE)</f>
        <v>anke.pagels-kerp@dlr.de</v>
      </c>
      <c r="E4" s="7" t="str">
        <f>VLOOKUP($A4,Tabelle1[#All],6,FALSE)</f>
        <v>Raumfahrtvorstand</v>
      </c>
      <c r="F4" t="str">
        <f>_xlfn.XLOOKUP($A4,Worksheet!C:C,Worksheet!A:A)</f>
        <v>Deutsches Zentrum für Luft- und Raumfahrt</v>
      </c>
      <c r="I4" t="str">
        <f t="shared" si="0"/>
        <v>Anke;Pagels-Kerp;anke.pagels-kerp@dlr.de;Raumfahrtvorstand;Deutsches Zentrum für Luft- und Raumfahrt;;</v>
      </c>
    </row>
    <row r="5" spans="1:9" ht="16" x14ac:dyDescent="0.2">
      <c r="A5" s="8" t="str">
        <f>Worksheet!C5</f>
        <v>Schneider, Christian, Angestellter</v>
      </c>
      <c r="B5" t="str">
        <f>VLOOKUP($A5,Tabelle1[#All],2,FALSE)</f>
        <v>Christian</v>
      </c>
      <c r="C5" t="str">
        <f>VLOOKUP($A5,Tabelle1[#All],3,FALSE)</f>
        <v>Schneider</v>
      </c>
      <c r="D5" t="str">
        <f>VLOOKUP($A5,Worksheet!$C$1:$G$34,5,FALSE)</f>
        <v>chrisumilgl@freenet.de</v>
      </c>
      <c r="E5" s="7" t="str">
        <f>VLOOKUP($A5,Tabelle1[#All],6,FALSE)</f>
        <v>Angestellter</v>
      </c>
      <c r="F5" t="str">
        <f>_xlfn.XLOOKUP($A5,Worksheet!C:C,Worksheet!A:A)</f>
        <v xml:space="preserve">ASUC GmbH </v>
      </c>
      <c r="I5" t="str">
        <f t="shared" si="0"/>
        <v>Christian;Schneider;chrisumilgl@freenet.de;Angestellter;ASUC GmbH ;;</v>
      </c>
    </row>
    <row r="6" spans="1:9" ht="16" x14ac:dyDescent="0.2">
      <c r="A6" s="8" t="str">
        <f>Worksheet!C6</f>
        <v>Lehrperson an der OTA/ATA Schule</v>
      </c>
      <c r="B6" s="1" t="s">
        <v>371</v>
      </c>
      <c r="C6" s="1" t="s">
        <v>286</v>
      </c>
      <c r="D6" t="str">
        <f>VLOOKUP($A6,Worksheet!$C$1:$G$34,5,FALSE)</f>
        <v>madleen883.schneider@gmx.de</v>
      </c>
      <c r="E6" s="7" t="str">
        <f>VLOOKUP($A6,Tabelle1[#All],6,FALSE)</f>
        <v>Lehrperson an der OTA/ATA Schule</v>
      </c>
      <c r="F6" t="str">
        <f>_xlfn.XLOOKUP($A6,Worksheet!C:C,Worksheet!A:A)</f>
        <v>Uniklinik Bonn</v>
      </c>
      <c r="I6" t="str">
        <f t="shared" si="0"/>
        <v>Madleen;Schneider;madleen883.schneider@gmx.de;Lehrperson an der OTA/ATA Schule;Uniklinik Bonn;;</v>
      </c>
    </row>
    <row r="7" spans="1:9" x14ac:dyDescent="0.2">
      <c r="A7" s="8" t="str">
        <f>Worksheet!C7</f>
        <v>Verbundkrankenhaus Linz-Remagen/ Pflegefachschule Linz-Remagen</v>
      </c>
      <c r="B7" s="1" t="s">
        <v>369</v>
      </c>
      <c r="C7" s="1" t="s">
        <v>370</v>
      </c>
      <c r="D7" t="str">
        <f>VLOOKUP($A7,Worksheet!$C$1:$G$34,5,FALSE)</f>
        <v>kheidrich@pflegefachschule-linz.de</v>
      </c>
      <c r="E7" s="7">
        <f>VLOOKUP($A7,Tabelle1[#All],6,FALSE)</f>
        <v>0</v>
      </c>
      <c r="F7" t="str">
        <f>_xlfn.XLOOKUP($A7,Worksheet!C:C,Worksheet!A:A)</f>
        <v>Verbundkrankenhaus Linz-Remagen/ Pflegefachschule Linz-Remagen</v>
      </c>
      <c r="I7" t="str">
        <f t="shared" si="0"/>
        <v>Katharina;Heidrich;kheidrich@pflegefachschule-linz.de;0;Verbundkrankenhaus Linz-Remagen/ Pflegefachschule Linz-Remagen;;</v>
      </c>
    </row>
    <row r="8" spans="1:9" ht="16" x14ac:dyDescent="0.2">
      <c r="A8" s="8" t="str">
        <f>Worksheet!C8</f>
        <v xml:space="preserve">König, Bianca Recruiting/Personalgewinnung </v>
      </c>
      <c r="B8" t="str">
        <f>VLOOKUP($A8,Tabelle1[#All],2,FALSE)</f>
        <v>Bianca</v>
      </c>
      <c r="C8" t="str">
        <f>VLOOKUP($A8,Tabelle1[#All],3,FALSE)</f>
        <v>König</v>
      </c>
      <c r="D8" t="str">
        <f>VLOOKUP($A8,Worksheet!$C$1:$G$34,5,FALSE)</f>
        <v>bianca-eileen.koenig@vr-rae.de</v>
      </c>
      <c r="E8" s="7" t="str">
        <f>VLOOKUP($A8,Tabelle1[#All],6,FALSE)</f>
        <v>Recruiting/Personalgewinnung</v>
      </c>
      <c r="F8" t="str">
        <f>_xlfn.XLOOKUP($A8,Worksheet!C:C,Worksheet!A:A)</f>
        <v>VR Bank RheinAhrEifel eG</v>
      </c>
      <c r="I8" t="str">
        <f t="shared" si="0"/>
        <v>Bianca;König;bianca-eileen.koenig@vr-rae.de;Recruiting/Personalgewinnung;VR Bank RheinAhrEifel eG;;</v>
      </c>
    </row>
    <row r="9" spans="1:9" x14ac:dyDescent="0.2">
      <c r="A9" s="8" t="str">
        <f>Worksheet!C9</f>
        <v>Kira Brauer</v>
      </c>
      <c r="B9" t="str">
        <f>VLOOKUP($A9,Tabelle1[#All],2,FALSE)</f>
        <v>Kira</v>
      </c>
      <c r="C9" t="str">
        <f>VLOOKUP($A9,Tabelle1[#All],3,FALSE)</f>
        <v>Brauer</v>
      </c>
      <c r="D9" t="str">
        <f>VLOOKUP($A9,Worksheet!$C$1:$G$34,5,FALSE)</f>
        <v>messenverwaltung@brillux.de</v>
      </c>
      <c r="E9" s="7">
        <f>VLOOKUP($A9,Tabelle1[#All],6,FALSE)</f>
        <v>0</v>
      </c>
      <c r="F9" t="str">
        <f>_xlfn.XLOOKUP($A9,Worksheet!C:C,Worksheet!A:A)</f>
        <v>Brillux GmbH &amp; Co. KG, Niederlassung Neuwied</v>
      </c>
      <c r="I9" t="str">
        <f t="shared" si="0"/>
        <v>Kira;Brauer;messenverwaltung@brillux.de;0;Brillux GmbH &amp; Co. KG, Niederlassung Neuwied;;</v>
      </c>
    </row>
    <row r="10" spans="1:9" ht="32" x14ac:dyDescent="0.2">
      <c r="A10" s="8" t="str">
        <f>Worksheet!C10</f>
        <v>Diederich, Luci - Teil der Geschäftsleitung | Leitung Qualitätsmanagement, Qualitätssicherung &amp; Produktentwicklung</v>
      </c>
      <c r="B10" t="str">
        <f>VLOOKUP($A10,Tabelle1[#All],2,FALSE)</f>
        <v>Luci</v>
      </c>
      <c r="C10" t="str">
        <f>VLOOKUP($A10,Tabelle1[#All],3,FALSE)</f>
        <v>Diederich</v>
      </c>
      <c r="D10" t="str">
        <f>VLOOKUP($A10,Worksheet!$C$1:$G$34,5,FALSE)</f>
        <v>l.diederich@coppeneur.de</v>
      </c>
      <c r="E10" s="7" t="str">
        <f>VLOOKUP($A10,Tabelle1[#All],6,FALSE)</f>
        <v>Teil der Geschäftsleitung / Leitung Qualitätsmanagement, Qualitätssicherung &amp; Produktentwicklung</v>
      </c>
      <c r="F10" t="str">
        <f>_xlfn.XLOOKUP($A10,Worksheet!C:C,Worksheet!A:A)</f>
        <v xml:space="preserve">Confiserie Coppeneur et Compagnon GmbH </v>
      </c>
      <c r="I10" t="str">
        <f t="shared" si="0"/>
        <v>Luci;Diederich;l.diederich@coppeneur.de;Teil der Geschäftsleitung / Leitung Qualitätsmanagement, Qualitätssicherung &amp; Produktentwicklung;Confiserie Coppeneur et Compagnon GmbH ;;</v>
      </c>
    </row>
    <row r="11" spans="1:9" x14ac:dyDescent="0.2">
      <c r="A11" s="8" t="str">
        <f>Worksheet!C11</f>
        <v>Kloth, Sarah</v>
      </c>
      <c r="B11" t="str">
        <f>VLOOKUP($A11,Tabelle1[#All],2,FALSE)</f>
        <v>Sarah</v>
      </c>
      <c r="C11" t="str">
        <f>VLOOKUP($A11,Tabelle1[#All],3,FALSE)</f>
        <v>Kloth</v>
      </c>
      <c r="D11" t="str">
        <f>VLOOKUP($A11,Worksheet!$C$1:$G$34,5,FALSE)</f>
        <v>sarah.kloth@h-brs.de</v>
      </c>
      <c r="E11" s="7">
        <f>VLOOKUP($A11,Tabelle1[#All],6,FALSE)</f>
        <v>0</v>
      </c>
      <c r="F11" t="str">
        <f>_xlfn.XLOOKUP($A11,Worksheet!C:C,Worksheet!A:A)</f>
        <v>Hochschule Bonn-Rhein-Sieg</v>
      </c>
      <c r="I11" t="str">
        <f t="shared" si="0"/>
        <v>Sarah;Kloth;sarah.kloth@h-brs.de;0;Hochschule Bonn-Rhein-Sieg;;</v>
      </c>
    </row>
    <row r="12" spans="1:9" ht="16" x14ac:dyDescent="0.2">
      <c r="A12" s="8" t="str">
        <f>Worksheet!C12</f>
        <v>Florian Metzler - Leiter des BZs</v>
      </c>
      <c r="B12" t="str">
        <f>VLOOKUP($A12,Tabelle1[#All],2,FALSE)</f>
        <v>Florian</v>
      </c>
      <c r="C12" t="str">
        <f>VLOOKUP($A12,Tabelle1[#All],3,FALSE)</f>
        <v>Metzler</v>
      </c>
      <c r="D12" t="str">
        <f>VLOOKUP($A12,Worksheet!$C$1:$G$34,5,FALSE)</f>
        <v>joanna.fait@marienhaus.de</v>
      </c>
      <c r="E12" s="7" t="str">
        <f>VLOOKUP($A12,Tabelle1[#All],6,FALSE)</f>
        <v>Leiter des BZs</v>
      </c>
      <c r="F12" t="str">
        <f>_xlfn.XLOOKUP($A12,Worksheet!C:C,Worksheet!A:A)</f>
        <v>Rheinisches Bildungszentrum</v>
      </c>
      <c r="I12" t="str">
        <f t="shared" si="0"/>
        <v>Florian;Metzler;joanna.fait@marienhaus.de;Leiter des BZs;Rheinisches Bildungszentrum;;</v>
      </c>
    </row>
    <row r="13" spans="1:9" ht="16" x14ac:dyDescent="0.2">
      <c r="A13" s="8" t="str">
        <f>Worksheet!C13</f>
        <v>Michael Jung, Geschäftsstellenleiter u. Florian Heumann, Organisationsleiter</v>
      </c>
      <c r="B13" t="str">
        <f>VLOOKUP($A13,Tabelle1[#All],2,FALSE)</f>
        <v>Michael</v>
      </c>
      <c r="C13" t="str">
        <f>VLOOKUP($A13,Tabelle1[#All],3,FALSE)</f>
        <v>Jung</v>
      </c>
      <c r="D13" t="str">
        <f>VLOOKUP($A13,Worksheet!$C$1:$G$34,5,FALSE)</f>
        <v>Michael.Jung@debeka.de</v>
      </c>
      <c r="E13" s="7" t="str">
        <f>VLOOKUP($A13,Tabelle1[#All],6,FALSE)</f>
        <v>Geschäftsstellenleiter</v>
      </c>
      <c r="F13" t="str">
        <f>_xlfn.XLOOKUP($A13,Worksheet!C:C,Worksheet!A:A)</f>
        <v>Debeka Krankenversicherungsverein a. G.</v>
      </c>
      <c r="I13" t="str">
        <f t="shared" si="0"/>
        <v>Michael;Jung;Michael.Jung@debeka.de;Geschäftsstellenleiter;Debeka Krankenversicherungsverein a. G.;;</v>
      </c>
    </row>
    <row r="14" spans="1:9" ht="16" x14ac:dyDescent="0.2">
      <c r="A14" s="8" t="str">
        <f>Worksheet!C14</f>
        <v>Pütz, David (nebenamtlicher Einstellungsberater)</v>
      </c>
      <c r="B14" t="str">
        <f>VLOOKUP($A14,Tabelle1[#All],2,FALSE)</f>
        <v>David</v>
      </c>
      <c r="C14" t="str">
        <f>VLOOKUP($A14,Tabelle1[#All],3,FALSE)</f>
        <v>Pütz</v>
      </c>
      <c r="D14" t="str">
        <f>VLOOKUP($A14,Worksheet!$C$1:$G$34,5,FALSE)</f>
        <v>pilinz.einstellungsberatung@polizei.rlp.de</v>
      </c>
      <c r="E14" s="7" t="str">
        <f>VLOOKUP($A14,Tabelle1[#All],6,FALSE)</f>
        <v>nebenamtlicher Einstellungsberater</v>
      </c>
      <c r="F14" t="str">
        <f>_xlfn.XLOOKUP($A14,Worksheet!C:C,Worksheet!A:A)</f>
        <v>Polizei Rheinland Pfalz - PI Linz am Rhein</v>
      </c>
      <c r="I14" t="str">
        <f t="shared" si="0"/>
        <v>David;Pütz;pilinz.einstellungsberatung@polizei.rlp.de;nebenamtlicher Einstellungsberater;Polizei Rheinland Pfalz - PI Linz am Rhein;;</v>
      </c>
    </row>
    <row r="15" spans="1:9" ht="16" x14ac:dyDescent="0.2">
      <c r="A15" s="8" t="str">
        <f>Worksheet!C15</f>
        <v>Schneider, Andreas Teamleiter Ausbildung)</v>
      </c>
      <c r="B15" t="str">
        <f>VLOOKUP($A15,Tabelle1[#All],2,FALSE)</f>
        <v>Andreas</v>
      </c>
      <c r="C15" t="str">
        <f>VLOOKUP($A15,Tabelle1[#All],3,FALSE)</f>
        <v>Schneider</v>
      </c>
      <c r="D15" t="str">
        <f>VLOOKUP($A15,Worksheet!$C$1:$G$34,5,FALSE)</f>
        <v>andreas.schneider@birkenstock.com</v>
      </c>
      <c r="E15" s="7" t="str">
        <f>VLOOKUP($A15,Tabelle1[#All],6,FALSE)</f>
        <v>Teamleiter Ausbildung</v>
      </c>
      <c r="F15" t="str">
        <f>_xlfn.XLOOKUP($A15,Worksheet!C:C,Worksheet!A:A)</f>
        <v>Birkenstock Productions</v>
      </c>
      <c r="I15" t="str">
        <f t="shared" si="0"/>
        <v>Andreas;Schneider;andreas.schneider@birkenstock.com;Teamleiter Ausbildung;Birkenstock Productions;;</v>
      </c>
    </row>
    <row r="16" spans="1:9" ht="16" x14ac:dyDescent="0.2">
      <c r="A16" s="8" t="str">
        <f>Worksheet!C16</f>
        <v>Diesner, Michael, Polizeihauptkommissar</v>
      </c>
      <c r="B16" t="str">
        <f>VLOOKUP($A16,Tabelle1[#All],2,FALSE)</f>
        <v>Michael</v>
      </c>
      <c r="C16" t="str">
        <f>VLOOKUP($A16,Tabelle1[#All],3,FALSE)</f>
        <v>Diesner</v>
      </c>
      <c r="D16" t="str">
        <f>VLOOKUP($A16,Worksheet!$C$1:$G$34,5,FALSE)</f>
        <v>michael.diesner@polizei.bund.de</v>
      </c>
      <c r="E16" s="7" t="str">
        <f>VLOOKUP($A16,Tabelle1[#All],6,FALSE)</f>
        <v>Polizeihauptkommissar</v>
      </c>
      <c r="F16" t="str">
        <f>_xlfn.XLOOKUP($A16,Worksheet!C:C,Worksheet!A:A)</f>
        <v xml:space="preserve">Bundespolizei </v>
      </c>
      <c r="I16" t="str">
        <f t="shared" si="0"/>
        <v>Michael;Diesner;michael.diesner@polizei.bund.de;Polizeihauptkommissar;Bundespolizei ;;</v>
      </c>
    </row>
    <row r="17" spans="1:9" ht="16" x14ac:dyDescent="0.2">
      <c r="A17" s="8" t="str">
        <f>Worksheet!C17</f>
        <v>Vorstellung durch die Ausbilder! Chemikant: Mario Diede, Fachlagerist/Fachkraft Lagerlogistik: Vitali Huse, Fachinformatiker für Systemintegration: Dirk Bach</v>
      </c>
      <c r="B17" t="str">
        <f>VLOOKUP($A17,Tabelle1[#All],2,FALSE)</f>
        <v>Mario</v>
      </c>
      <c r="C17" t="str">
        <f>VLOOKUP($A17,Tabelle1[#All],3,FALSE)</f>
        <v>Diede</v>
      </c>
      <c r="D17" t="str">
        <f>VLOOKUP($A17,Worksheet!$C$1:$G$34,5,FALSE)</f>
        <v>krossa@noelken.de</v>
      </c>
      <c r="E17" s="7" t="str">
        <f>VLOOKUP($A17,Tabelle1[#All],6,FALSE)</f>
        <v>Chemikant</v>
      </c>
      <c r="F17" t="str">
        <f>_xlfn.XLOOKUP($A17,Worksheet!C:C,Worksheet!A:A)</f>
        <v>Nölken Hygiene Products GmbH</v>
      </c>
      <c r="I17" t="str">
        <f t="shared" si="0"/>
        <v>Mario;Diede;krossa@noelken.de;Chemikant;Nölken Hygiene Products GmbH;;</v>
      </c>
    </row>
    <row r="18" spans="1:9" ht="16" x14ac:dyDescent="0.2">
      <c r="A18" s="8" t="str">
        <f>Worksheet!C18</f>
        <v>Isaak, Margarete, Mitglied im Ausbildungsteam des FA Neuwied</v>
      </c>
      <c r="B18" t="str">
        <f>VLOOKUP($A18,Tabelle1[#All],2,FALSE)</f>
        <v>Margarete</v>
      </c>
      <c r="C18" t="str">
        <f>VLOOKUP($A18,Tabelle1[#All],3,FALSE)</f>
        <v>Isaak</v>
      </c>
      <c r="D18" t="str">
        <f>VLOOKUP($A18,Worksheet!$C$1:$G$34,5,FALSE)</f>
        <v>ausbildung@fa-nr.fin-rlp.de</v>
      </c>
      <c r="E18" s="7" t="str">
        <f>VLOOKUP($A18,Tabelle1[#All],6,FALSE)</f>
        <v>Mitglied im Ausbildungsteam des FA Neuwied</v>
      </c>
      <c r="F18" t="str">
        <f>_xlfn.XLOOKUP($A18,Worksheet!C:C,Worksheet!A:A)</f>
        <v>Finanzamt Neuwied</v>
      </c>
      <c r="I18" t="str">
        <f t="shared" si="0"/>
        <v>Margarete;Isaak;ausbildung@fa-nr.fin-rlp.de;Mitglied im Ausbildungsteam des FA Neuwied;Finanzamt Neuwied;;</v>
      </c>
    </row>
    <row r="19" spans="1:9" ht="32" x14ac:dyDescent="0.2">
      <c r="A19" s="8" t="str">
        <f>Worksheet!C19</f>
        <v>Dr. Bensch, Frank (Deutscher Delegierter bei der Europäischen Weltraumagentur ESA, Fachgruppenleiter Satkom Europäische Programme)</v>
      </c>
      <c r="B19" t="str">
        <f>VLOOKUP($A19,Tabelle1[#All],2,FALSE)</f>
        <v>Frank</v>
      </c>
      <c r="C19" t="str">
        <f>VLOOKUP($A19,Tabelle1[#All],3,FALSE)</f>
        <v>Bensch</v>
      </c>
      <c r="D19" t="str">
        <f>VLOOKUP($A19,Worksheet!$C$1:$G$34,5,FALSE)</f>
        <v>frank@bensch-erpel.de</v>
      </c>
      <c r="E19" s="7" t="str">
        <f>VLOOKUP($A19,Tabelle1[#All],6,FALSE)</f>
        <v>Deutscher Delegierter bei der Europäischen Weltraumagentur ESA, Fachgruppenleiter Satkom Europäische Programme</v>
      </c>
      <c r="F19" t="str">
        <f>_xlfn.XLOOKUP($A19,Worksheet!C:C,Worksheet!A:A)</f>
        <v>Deutsche Raumfahrtagentur im DLR</v>
      </c>
      <c r="I19" t="str">
        <f t="shared" si="0"/>
        <v>Frank;Bensch;frank@bensch-erpel.de;Deutscher Delegierter bei der Europäischen Weltraumagentur ESA, Fachgruppenleiter Satkom Europäische Programme;Deutsche Raumfahrtagentur im DLR;;</v>
      </c>
    </row>
    <row r="20" spans="1:9" x14ac:dyDescent="0.2">
      <c r="A20" s="8" t="str">
        <f>Worksheet!C20</f>
        <v>Andrea Schlüter</v>
      </c>
      <c r="B20" t="str">
        <f>VLOOKUP($A20,Tabelle1[#All],2,FALSE)</f>
        <v>Andrea</v>
      </c>
      <c r="C20" t="str">
        <f>VLOOKUP($A20,Tabelle1[#All],3,FALSE)</f>
        <v>Schlüter</v>
      </c>
      <c r="D20" t="str">
        <f>VLOOKUP($A20,Worksheet!$C$1:$G$34,5,FALSE)</f>
        <v>andrea.schlueter@vg-linz.de</v>
      </c>
      <c r="E20" s="7">
        <f>VLOOKUP($A20,Tabelle1[#All],6,FALSE)</f>
        <v>0</v>
      </c>
      <c r="F20" t="str">
        <f>_xlfn.XLOOKUP($A20,Worksheet!C:C,Worksheet!A:A)</f>
        <v>Verbandsgemeinde Linz am Rhein</v>
      </c>
      <c r="I20" t="str">
        <f t="shared" si="0"/>
        <v>Andrea;Schlüter;andrea.schlueter@vg-linz.de;0;Verbandsgemeinde Linz am Rhein;;</v>
      </c>
    </row>
    <row r="21" spans="1:9" x14ac:dyDescent="0.2">
      <c r="A21" s="8" t="str">
        <f>Worksheet!C21</f>
        <v>Pascal Labonde</v>
      </c>
      <c r="B21" t="str">
        <f>VLOOKUP($A21,Tabelle1[#All],2,FALSE)</f>
        <v>Pascal</v>
      </c>
      <c r="C21" t="str">
        <f>VLOOKUP($A21,Tabelle1[#All],3,FALSE)</f>
        <v>Labonde</v>
      </c>
      <c r="D21" t="str">
        <f>VLOOKUP($A21,Worksheet!$C$1:$G$34,5,FALSE)</f>
        <v>pascal.labonde@vg-linz.de</v>
      </c>
      <c r="E21" s="7">
        <f>VLOOKUP($A21,Tabelle1[#All],6,FALSE)</f>
        <v>0</v>
      </c>
      <c r="F21" t="str">
        <f>_xlfn.XLOOKUP($A21,Worksheet!C:C,Worksheet!A:A)</f>
        <v>Verbandsgemeinde Linz am Rhein</v>
      </c>
      <c r="I21" t="str">
        <f t="shared" si="0"/>
        <v>Pascal;Labonde;pascal.labonde@vg-linz.de;0;Verbandsgemeinde Linz am Rhein;;</v>
      </c>
    </row>
    <row r="22" spans="1:9" ht="16" x14ac:dyDescent="0.2">
      <c r="A22" s="8" t="str">
        <f>Worksheet!C22</f>
        <v>Manuela Schützeichel (stellv. Personalleitung / Ausbildungsleitung)</v>
      </c>
      <c r="B22" t="str">
        <f>VLOOKUP($A22,Tabelle1[#All],2,FALSE)</f>
        <v>Manuela</v>
      </c>
      <c r="C22" t="str">
        <f>VLOOKUP($A22,Tabelle1[#All],3,FALSE)</f>
        <v>Schützeichel</v>
      </c>
      <c r="D22" t="str">
        <f>VLOOKUP($A22,Worksheet!$C$1:$G$34,5,FALSE)</f>
        <v>manuela.schuetzeichel@niedax.de</v>
      </c>
      <c r="E22" s="7" t="str">
        <f>VLOOKUP($A22,Tabelle1[#All],6,FALSE)</f>
        <v>stellv. Personalleitung / Ausbildungsleitung</v>
      </c>
      <c r="F22" t="str">
        <f>_xlfn.XLOOKUP($A22,Worksheet!C:C,Worksheet!A:A)</f>
        <v>Niedax GmbH &amp; Co. KG</v>
      </c>
      <c r="I22" t="str">
        <f t="shared" si="0"/>
        <v>Manuela;Schützeichel;manuela.schuetzeichel@niedax.de;stellv. Personalleitung / Ausbildungsleitung;Niedax GmbH &amp; Co. KG;;</v>
      </c>
    </row>
    <row r="23" spans="1:9" x14ac:dyDescent="0.2">
      <c r="A23" s="8" t="str">
        <f>Worksheet!C23</f>
        <v xml:space="preserve">Markus Bouillon </v>
      </c>
      <c r="B23" t="str">
        <f>VLOOKUP($A23,Tabelle1[#All],2,FALSE)</f>
        <v>Markus</v>
      </c>
      <c r="C23" t="str">
        <f>VLOOKUP($A23,Tabelle1[#All],3,FALSE)</f>
        <v>Bouillon</v>
      </c>
      <c r="D23" t="str">
        <f>VLOOKUP($A23,Worksheet!$C$1:$G$34,5,FALSE)</f>
        <v>markusbouillon@siebersgmbh.de</v>
      </c>
      <c r="E23" s="7">
        <f>VLOOKUP($A23,Tabelle1[#All],6,FALSE)</f>
        <v>0</v>
      </c>
      <c r="F23" t="str">
        <f>_xlfn.XLOOKUP($A23,Worksheet!C:C,Worksheet!A:A)</f>
        <v xml:space="preserve">Siebers Sanitär- und Heizungstechnik GmbH </v>
      </c>
      <c r="I23" t="str">
        <f t="shared" si="0"/>
        <v>Markus;Bouillon;markusbouillon@siebersgmbh.de;0;Siebers Sanitär- und Heizungstechnik GmbH ;;</v>
      </c>
    </row>
    <row r="24" spans="1:9" ht="16" x14ac:dyDescent="0.2">
      <c r="A24" s="8" t="str">
        <f>Worksheet!C24</f>
        <v>Kunkel, Lisa (Büroleitung Karriereberatungsbüro Bonn)</v>
      </c>
      <c r="B24" t="str">
        <f>VLOOKUP($A24,Tabelle1[#All],2,FALSE)</f>
        <v>Lisa</v>
      </c>
      <c r="C24" t="str">
        <f>VLOOKUP($A24,Tabelle1[#All],3,FALSE)</f>
        <v>Kunkel</v>
      </c>
      <c r="D24" t="str">
        <f>VLOOKUP($A24,Worksheet!$C$1:$G$34,5,FALSE)</f>
        <v>KarrBBBonn@bundeswehr.org</v>
      </c>
      <c r="E24" s="7" t="str">
        <f>VLOOKUP($A24,Tabelle1[#All],6,FALSE)</f>
        <v>Büroleitung Karriereberatungsbüro Bonn</v>
      </c>
      <c r="F24" t="str">
        <f>_xlfn.XLOOKUP($A24,Worksheet!C:C,Worksheet!A:A)</f>
        <v>Bundeswehr</v>
      </c>
      <c r="I24" t="str">
        <f t="shared" si="0"/>
        <v>Lisa;Kunkel;KarrBBBonn@bundeswehr.org;Büroleitung Karriereberatungsbüro Bonn;Bundeswehr;;</v>
      </c>
    </row>
    <row r="25" spans="1:9" ht="16" x14ac:dyDescent="0.2">
      <c r="A25" s="8" t="str">
        <f>Worksheet!C25</f>
        <v>Born, Philip (Professor für Physik)</v>
      </c>
      <c r="B25" t="str">
        <f>VLOOKUP($A25,Tabelle1[#All],2,FALSE)</f>
        <v>Philip</v>
      </c>
      <c r="C25" t="str">
        <f>VLOOKUP($A25,Tabelle1[#All],3,FALSE)</f>
        <v>Born</v>
      </c>
      <c r="D25" t="str">
        <f>VLOOKUP($A25,Worksheet!$C$1:$G$34,5,FALSE)</f>
        <v>philip.born@jade-hs.de</v>
      </c>
      <c r="E25" s="7" t="str">
        <f>VLOOKUP($A25,Tabelle1[#All],6,FALSE)</f>
        <v>Professor für Physik</v>
      </c>
      <c r="F25" t="str">
        <f>_xlfn.XLOOKUP($A25,Worksheet!C:C,Worksheet!A:A)</f>
        <v xml:space="preserve">Jade Hochschule </v>
      </c>
      <c r="I25" t="str">
        <f t="shared" si="0"/>
        <v>Philip;Born;philip.born@jade-hs.de;Professor für Physik;Jade Hochschule ;;</v>
      </c>
    </row>
    <row r="26" spans="1:9" ht="32" x14ac:dyDescent="0.2">
      <c r="A26" s="8" t="str">
        <f>Worksheet!C26</f>
        <v>Weber, Princilia (Wissenschaftliche Mitarbeiterin des Studiengangs Management, Führung, Innovation</v>
      </c>
      <c r="B26" t="str">
        <f>VLOOKUP($A26,Tabelle1[#All],2,FALSE)</f>
        <v>Princilia</v>
      </c>
      <c r="C26" t="str">
        <f>VLOOKUP($A26,Tabelle1[#All],3,FALSE)</f>
        <v>Weber</v>
      </c>
      <c r="D26" t="str">
        <f>VLOOKUP($A26,Worksheet!$C$1:$G$34,5,FALSE)</f>
        <v>weber3@hs-koblenz.de</v>
      </c>
      <c r="E26" s="7" t="str">
        <f>VLOOKUP($A26,Tabelle1[#All],6,FALSE)</f>
        <v>Wissenschaftliche Mitarbeiterin des Studiengangs Management, Führung, Innovation</v>
      </c>
      <c r="F26" t="str">
        <f>_xlfn.XLOOKUP($A26,Worksheet!C:C,Worksheet!A:A)</f>
        <v>Hochschule Koblenz</v>
      </c>
      <c r="I26" t="str">
        <f t="shared" si="0"/>
        <v>Princilia;Weber;weber3@hs-koblenz.de;Wissenschaftliche Mitarbeiterin des Studiengangs Management, Führung, Innovation;Hochschule Koblenz;;</v>
      </c>
    </row>
    <row r="27" spans="1:9" ht="16" x14ac:dyDescent="0.2">
      <c r="A27" s="8" t="str">
        <f>Worksheet!C27</f>
        <v>Groß Alexander, Ausbildungsleiter</v>
      </c>
      <c r="B27" t="str">
        <f>VLOOKUP($A27,Tabelle1[#All],2,FALSE)</f>
        <v>Alexander</v>
      </c>
      <c r="C27" t="str">
        <f>VLOOKUP($A27,Tabelle1[#All],3,FALSE)</f>
        <v>Groß</v>
      </c>
      <c r="D27" t="str">
        <f>VLOOKUP($A27,Worksheet!$C$1:$G$34,5,FALSE)</f>
        <v>alexander.gross@fst.com</v>
      </c>
      <c r="E27" s="7" t="str">
        <f>VLOOKUP($A27,Tabelle1[#All],6,FALSE)</f>
        <v>Ausbildungsleiter</v>
      </c>
      <c r="F27" t="str">
        <f>_xlfn.XLOOKUP($A27,Worksheet!C:C,Worksheet!A:A)</f>
        <v xml:space="preserve">Freudenberg Remagen </v>
      </c>
      <c r="I27" t="str">
        <f t="shared" si="0"/>
        <v>Alexander;Groß;alexander.gross@fst.com;Ausbildungsleiter;Freudenberg Remagen ;;</v>
      </c>
    </row>
    <row r="28" spans="1:9" ht="16" x14ac:dyDescent="0.2">
      <c r="A28" s="8" t="str">
        <f>Worksheet!C28</f>
        <v xml:space="preserve">Anne Bollinger Personalbetreuung </v>
      </c>
      <c r="B28" t="str">
        <f>VLOOKUP($A28,Tabelle1[#All],2,FALSE)</f>
        <v>Anne</v>
      </c>
      <c r="C28" t="str">
        <f>VLOOKUP($A28,Tabelle1[#All],3,FALSE)</f>
        <v>Bollinger</v>
      </c>
      <c r="D28" t="str">
        <f>VLOOKUP($A28,Worksheet!$C$1:$G$34,5,FALSE)</f>
        <v>anne.bollinger@sparkasse-neuwied.de</v>
      </c>
      <c r="E28" s="7" t="str">
        <f>VLOOKUP($A28,Tabelle1[#All],6,FALSE)</f>
        <v>Personalbetreuung</v>
      </c>
      <c r="F28" t="str">
        <f>_xlfn.XLOOKUP($A28,Worksheet!C:C,Worksheet!A:A)</f>
        <v>Sparkasse Neuwied</v>
      </c>
      <c r="I28" t="str">
        <f t="shared" si="0"/>
        <v>Anne;Bollinger;anne.bollinger@sparkasse-neuwied.de;Personalbetreuung;Sparkasse Neuwied;;</v>
      </c>
    </row>
    <row r="29" spans="1:9" ht="16" x14ac:dyDescent="0.2">
      <c r="A29" s="8" t="str">
        <f>Worksheet!C29</f>
        <v>Endlich-Böse, Matthias / Oberarzt</v>
      </c>
      <c r="B29" t="str">
        <f>VLOOKUP($A29,Tabelle1[#All],2,FALSE)</f>
        <v>Matthias</v>
      </c>
      <c r="C29" t="str">
        <f>VLOOKUP($A29,Tabelle1[#All],3,FALSE)</f>
        <v>Endlich-Böse</v>
      </c>
      <c r="D29" t="str">
        <f>VLOOKUP($A29,Worksheet!$C$1:$G$34,5,FALSE)</f>
        <v>matthiasendlich@yahoo.de</v>
      </c>
      <c r="E29" s="7" t="str">
        <f>VLOOKUP($A29,Tabelle1[#All],6,FALSE)</f>
        <v>Oberarzt</v>
      </c>
      <c r="F29" t="str">
        <f>_xlfn.XLOOKUP($A29,Worksheet!C:C,Worksheet!A:A)</f>
        <v xml:space="preserve">Bundeswehr </v>
      </c>
      <c r="I29" t="str">
        <f t="shared" si="0"/>
        <v>Matthias;Endlich-Böse;matthiasendlich@yahoo.de;Oberarzt;Bundeswehr ;;</v>
      </c>
    </row>
    <row r="30" spans="1:9" ht="16" x14ac:dyDescent="0.2">
      <c r="A30" s="8" t="str">
        <f>Worksheet!C30</f>
        <v>Wölfl,Simon (Senior Artdirector)</v>
      </c>
      <c r="B30" t="str">
        <f>VLOOKUP($A30,Tabelle1[#All],2,FALSE)</f>
        <v>Simon</v>
      </c>
      <c r="C30" t="str">
        <f>VLOOKUP($A30,Tabelle1[#All],3,FALSE)</f>
        <v>Wölfl</v>
      </c>
      <c r="D30" t="str">
        <f>VLOOKUP($A30,Worksheet!$C$1:$G$34,5,FALSE)</f>
        <v>simon.design@gmx.de</v>
      </c>
      <c r="E30" s="7" t="str">
        <f>VLOOKUP($A30,Tabelle1[#All],6,FALSE)</f>
        <v>Senior Artdirector</v>
      </c>
      <c r="F30" t="str">
        <f>_xlfn.XLOOKUP($A30,Worksheet!C:C,Worksheet!A:A)</f>
        <v>Kitz.Kommunikation GmbH</v>
      </c>
      <c r="I30" t="str">
        <f t="shared" si="0"/>
        <v>Simon;Wölfl;simon.design@gmx.de;Senior Artdirector;Kitz.Kommunikation GmbH;;</v>
      </c>
    </row>
    <row r="31" spans="1:9" ht="16" x14ac:dyDescent="0.2">
      <c r="A31" s="8" t="str">
        <f>Worksheet!C31</f>
        <v xml:space="preserve">Kuntze Anka, Praxisanleitung, Fachkraft für Kinderperspektive und Personalrat+ Sina Schmitz Erzieherin </v>
      </c>
      <c r="B31" t="str">
        <f>VLOOKUP($A31,Tabelle1[#All],2,FALSE)</f>
        <v>Anka</v>
      </c>
      <c r="C31" t="str">
        <f>VLOOKUP($A31,Tabelle1[#All],3,FALSE)</f>
        <v>Kuntze</v>
      </c>
      <c r="D31" t="str">
        <f>VLOOKUP($A31,Worksheet!$C$1:$G$34,5,FALSE)</f>
        <v>anka.kuntze@gmail.com</v>
      </c>
      <c r="E31" s="7" t="str">
        <f>VLOOKUP($A31,Tabelle1[#All],6,FALSE)</f>
        <v>Praxisanleitung, Fachkraft für Kinderperspektive und Personalrat</v>
      </c>
      <c r="F31" t="str">
        <f>_xlfn.XLOOKUP($A31,Worksheet!C:C,Worksheet!A:A)</f>
        <v>Kita Rappelkiste</v>
      </c>
      <c r="I31" t="str">
        <f t="shared" si="0"/>
        <v>Anka;Kuntze;anka.kuntze@gmail.com;Praxisanleitung, Fachkraft für Kinderperspektive und Personalrat;Kita Rappelkiste;;</v>
      </c>
    </row>
    <row r="32" spans="1:9" x14ac:dyDescent="0.2">
      <c r="A32" s="8" t="str">
        <f>Worksheet!C32</f>
        <v xml:space="preserve">Feltens Benedikt </v>
      </c>
      <c r="B32" t="str">
        <f>VLOOKUP($A32,Tabelle1[#All],2,FALSE)</f>
        <v>Benedikt</v>
      </c>
      <c r="C32" t="str">
        <f>VLOOKUP($A32,Tabelle1[#All],3,FALSE)</f>
        <v>Feltens</v>
      </c>
      <c r="D32" t="str">
        <f>VLOOKUP($A32,Worksheet!$C$1:$G$34,5,FALSE)</f>
        <v>benedikt@feltens-events.de</v>
      </c>
      <c r="E32" s="7">
        <f>VLOOKUP($A32,Tabelle1[#All],6,FALSE)</f>
        <v>0</v>
      </c>
      <c r="F32" t="str">
        <f>_xlfn.XLOOKUP($A32,Worksheet!C:C,Worksheet!A:A)</f>
        <v xml:space="preserve">Benedikt Feltens Events - Schloss Arenfels </v>
      </c>
      <c r="I32" t="str">
        <f t="shared" si="0"/>
        <v>Benedikt;Feltens;benedikt@feltens-events.de;0;Benedikt Feltens Events - Schloss Arenfels ;;</v>
      </c>
    </row>
    <row r="33" spans="1:9" ht="16" x14ac:dyDescent="0.2">
      <c r="A33" s="8" t="str">
        <f>Worksheet!C33</f>
        <v>Manns, Benedikt, Forstrevierleiter</v>
      </c>
      <c r="B33" t="str">
        <f>VLOOKUP($A33,Tabelle1[#All],2,FALSE)</f>
        <v>Benedikt</v>
      </c>
      <c r="C33" t="str">
        <f>VLOOKUP($A33,Tabelle1[#All],3,FALSE)</f>
        <v>Manns</v>
      </c>
      <c r="D33" t="str">
        <f>VLOOKUP($A33,Worksheet!$C$1:$G$34,5,FALSE)</f>
        <v>bmanns@zuwied.net</v>
      </c>
      <c r="E33" s="7" t="str">
        <f>VLOOKUP($A33,Tabelle1[#All],6,FALSE)</f>
        <v>Forstrevierleiter</v>
      </c>
      <c r="F33" t="str">
        <f>_xlfn.XLOOKUP($A33,Worksheet!C:C,Worksheet!A:A)</f>
        <v>Fürstlich Wiedisches Forstamt</v>
      </c>
      <c r="I33" t="str">
        <f t="shared" si="0"/>
        <v>Benedikt;Manns;bmanns@zuwied.net;Forstrevierleiter;Fürstlich Wiedisches Forstamt;;</v>
      </c>
    </row>
    <row r="34" spans="1:9" ht="16" x14ac:dyDescent="0.2">
      <c r="A34" s="8" t="str">
        <f>Worksheet!C34</f>
        <v>Sebastian Schneider, wiss. Mitarbeiter, Studiengangkoordinator</v>
      </c>
      <c r="B34" t="str">
        <f>VLOOKUP($A34,Tabelle1[#All],2,FALSE)</f>
        <v>Sebastian</v>
      </c>
      <c r="C34" t="str">
        <f>VLOOKUP($A34,Tabelle1[#All],3,FALSE)</f>
        <v>Schneider</v>
      </c>
      <c r="D34" t="str">
        <f>VLOOKUP($A34,Worksheet!$C$1:$G$34,5,FALSE)</f>
        <v>schneider1@hs-koblenz.de</v>
      </c>
      <c r="E34" s="7" t="str">
        <f>VLOOKUP($A34,Tabelle1[#All],6,FALSE)</f>
        <v>wiss. Mitarbeiter, Studiengangkoordinator</v>
      </c>
      <c r="F34" t="str">
        <f>_xlfn.XLOOKUP($A34,Worksheet!C:C,Worksheet!A:A)</f>
        <v>Hochschuele Koblenz</v>
      </c>
      <c r="I34" t="str">
        <f t="shared" si="0"/>
        <v>Sebastian;Schneider;schneider1@hs-koblenz.de;wiss. Mitarbeiter, Studiengangkoordinator;Hochschuele Koblenz;;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C100-FD93-C84D-8E04-235553BEB3D2}">
  <dimension ref="A1:N34"/>
  <sheetViews>
    <sheetView tabSelected="1" workbookViewId="0">
      <selection activeCell="N2" sqref="N2:N34"/>
    </sheetView>
  </sheetViews>
  <sheetFormatPr baseColWidth="10" defaultRowHeight="15" x14ac:dyDescent="0.2"/>
  <cols>
    <col min="2" max="2" width="9.5" bestFit="1" customWidth="1"/>
    <col min="3" max="3" width="45.5" style="7" customWidth="1"/>
    <col min="4" max="4" width="29.6640625" customWidth="1"/>
    <col min="5" max="5" width="17" customWidth="1"/>
    <col min="6" max="6" width="14.1640625" customWidth="1"/>
    <col min="7" max="7" width="14.33203125" bestFit="1" customWidth="1"/>
    <col min="8" max="8" width="6.83203125" customWidth="1"/>
    <col min="9" max="9" width="14.33203125" bestFit="1" customWidth="1"/>
    <col min="10" max="10" width="12.33203125" bestFit="1" customWidth="1"/>
    <col min="12" max="12" width="13.33203125" bestFit="1" customWidth="1"/>
    <col min="13" max="13" width="11.1640625" bestFit="1" customWidth="1"/>
  </cols>
  <sheetData>
    <row r="1" spans="1:14" ht="20" x14ac:dyDescent="0.25">
      <c r="A1" s="9" t="s">
        <v>367</v>
      </c>
      <c r="B1" s="13" t="s">
        <v>372</v>
      </c>
      <c r="C1" s="12" t="s">
        <v>273</v>
      </c>
      <c r="D1" s="13" t="s">
        <v>373</v>
      </c>
      <c r="E1" s="13" t="s">
        <v>374</v>
      </c>
      <c r="F1" s="13" t="s">
        <v>375</v>
      </c>
      <c r="G1" s="13" t="s">
        <v>376</v>
      </c>
      <c r="H1" s="13" t="s">
        <v>377</v>
      </c>
      <c r="I1" s="13" t="s">
        <v>378</v>
      </c>
      <c r="J1" s="13" t="s">
        <v>379</v>
      </c>
      <c r="K1" s="13" t="s">
        <v>380</v>
      </c>
      <c r="L1" s="13" t="s">
        <v>381</v>
      </c>
      <c r="M1" s="13" t="s">
        <v>382</v>
      </c>
      <c r="N1" s="13" t="s">
        <v>368</v>
      </c>
    </row>
    <row r="2" spans="1:14" ht="16" x14ac:dyDescent="0.2">
      <c r="A2" s="8" t="str">
        <f>Worksheet!C2</f>
        <v>Arens, Stephan Dr. Prof.</v>
      </c>
      <c r="B2" s="1" t="s">
        <v>383</v>
      </c>
      <c r="C2" s="7" t="str">
        <f>_xlfn.XLOOKUP($A2,Worksheet!$C:$C,Worksheet!B:B)</f>
        <v xml:space="preserve">Rechtsanwalt / Jura Studium / Studium Wirtschaftsrecht </v>
      </c>
      <c r="D2" s="7" t="str">
        <f>_xlfn.XLOOKUP($A2,Worksheet!$C:$C,Worksheet!G:G)</f>
        <v>stephan.arens@th-koeln.de</v>
      </c>
      <c r="E2" s="1" t="s">
        <v>385</v>
      </c>
      <c r="F2" t="str">
        <f>C2</f>
        <v xml:space="preserve">Rechtsanwalt / Jura Studium / Studium Wirtschaftsrecht </v>
      </c>
      <c r="G2" s="1" t="s">
        <v>384</v>
      </c>
      <c r="H2">
        <v>2</v>
      </c>
      <c r="L2" s="1" t="s">
        <v>33</v>
      </c>
      <c r="N2" t="str">
        <f>_xlfn.TEXTJOIN(";",FALSE,B2:M2)</f>
        <v>false;Rechtsanwalt / Jura Studium / Studium Wirtschaftsrecht ;stephan.arens@th-koeln.de;1,2,3,4;Rechtsanwalt / Jura Studium / Studium Wirtschaftsrecht ;true;2;;;;Beamer;</v>
      </c>
    </row>
    <row r="3" spans="1:14" ht="16" x14ac:dyDescent="0.2">
      <c r="A3" s="8" t="str">
        <f>Worksheet!C3</f>
        <v>Schäfer, Martin (Projektleitung finanzielle Förderung)</v>
      </c>
      <c r="B3" s="1" t="s">
        <v>383</v>
      </c>
      <c r="C3" s="7" t="str">
        <f>_xlfn.XLOOKUP($A3,Worksheet!$C:$C,Worksheet!B:B)</f>
        <v xml:space="preserve">Entwicklungszusammenarbeit </v>
      </c>
      <c r="D3" s="7" t="str">
        <f>_xlfn.XLOOKUP($A3,Worksheet!$C:$C,Worksheet!G:G)</f>
        <v>mart.schaefer@gmail.com</v>
      </c>
      <c r="E3" s="1" t="s">
        <v>385</v>
      </c>
      <c r="F3" t="str">
        <f t="shared" ref="F3:F34" si="0">C3</f>
        <v xml:space="preserve">Entwicklungszusammenarbeit </v>
      </c>
      <c r="G3" s="1" t="s">
        <v>384</v>
      </c>
      <c r="H3">
        <v>2</v>
      </c>
      <c r="L3" s="1" t="s">
        <v>33</v>
      </c>
      <c r="N3" t="str">
        <f t="shared" ref="N3:N34" si="1">_xlfn.TEXTJOIN(";",FALSE,B3:M3)</f>
        <v>false;Entwicklungszusammenarbeit ;mart.schaefer@gmail.com;1,2,3,4;Entwicklungszusammenarbeit ;true;2;;;;Beamer;</v>
      </c>
    </row>
    <row r="4" spans="1:14" ht="16" x14ac:dyDescent="0.2">
      <c r="A4" s="8" t="str">
        <f>Worksheet!C4</f>
        <v>Anke Pagels-Kerp, Raumfahrtvorstand</v>
      </c>
      <c r="B4" s="1" t="s">
        <v>383</v>
      </c>
      <c r="C4" s="7" t="str">
        <f>_xlfn.XLOOKUP($A4,Worksheet!$C:$C,Worksheet!B:B)</f>
        <v>Luft- und Raumfahrtingenieur</v>
      </c>
      <c r="D4" s="7" t="str">
        <f>_xlfn.XLOOKUP($A4,Worksheet!$C:$C,Worksheet!G:G)</f>
        <v>anke.pagels-kerp@dlr.de</v>
      </c>
      <c r="E4" s="1" t="s">
        <v>385</v>
      </c>
      <c r="F4" t="str">
        <f t="shared" si="0"/>
        <v>Luft- und Raumfahrtingenieur</v>
      </c>
      <c r="G4" s="1" t="s">
        <v>384</v>
      </c>
      <c r="H4">
        <v>2</v>
      </c>
      <c r="L4" s="1" t="s">
        <v>33</v>
      </c>
      <c r="N4" t="str">
        <f t="shared" si="1"/>
        <v>false;Luft- und Raumfahrtingenieur;anke.pagels-kerp@dlr.de;1,2,3,4;Luft- und Raumfahrtingenieur;true;2;;;;Beamer;</v>
      </c>
    </row>
    <row r="5" spans="1:14" ht="16" x14ac:dyDescent="0.2">
      <c r="A5" s="8" t="str">
        <f>Worksheet!C5</f>
        <v>Schneider, Christian, Angestellter</v>
      </c>
      <c r="B5" s="1" t="s">
        <v>383</v>
      </c>
      <c r="C5" s="7" t="str">
        <f>_xlfn.XLOOKUP($A5,Worksheet!$C:$C,Worksheet!B:B)</f>
        <v xml:space="preserve">Fachkraft für Arbeitssicherheit </v>
      </c>
      <c r="D5" s="7" t="str">
        <f>_xlfn.XLOOKUP($A5,Worksheet!$C:$C,Worksheet!G:G)</f>
        <v>chrisumilgl@freenet.de</v>
      </c>
      <c r="E5" s="1" t="s">
        <v>385</v>
      </c>
      <c r="F5" t="str">
        <f t="shared" si="0"/>
        <v xml:space="preserve">Fachkraft für Arbeitssicherheit </v>
      </c>
      <c r="G5" s="1" t="s">
        <v>384</v>
      </c>
      <c r="H5">
        <v>2</v>
      </c>
      <c r="L5" s="1" t="s">
        <v>33</v>
      </c>
      <c r="N5" t="str">
        <f t="shared" si="1"/>
        <v>false;Fachkraft für Arbeitssicherheit ;chrisumilgl@freenet.de;1,2,3,4;Fachkraft für Arbeitssicherheit ;true;2;;;;Beamer;</v>
      </c>
    </row>
    <row r="6" spans="1:14" ht="16" x14ac:dyDescent="0.2">
      <c r="A6" s="8" t="str">
        <f>Worksheet!C6</f>
        <v>Lehrperson an der OTA/ATA Schule</v>
      </c>
      <c r="B6" s="1" t="s">
        <v>383</v>
      </c>
      <c r="C6" s="7" t="str">
        <f>_xlfn.XLOOKUP($A6,Worksheet!$C:$C,Worksheet!B:B)</f>
        <v>Operationstechnische/Anästhesietechnische Assistenz</v>
      </c>
      <c r="D6" s="7" t="str">
        <f>_xlfn.XLOOKUP($A6,Worksheet!$C:$C,Worksheet!G:G)</f>
        <v>madleen883.schneider@gmx.de</v>
      </c>
      <c r="E6" s="1" t="s">
        <v>385</v>
      </c>
      <c r="F6" t="str">
        <f t="shared" si="0"/>
        <v>Operationstechnische/Anästhesietechnische Assistenz</v>
      </c>
      <c r="G6" s="1" t="s">
        <v>384</v>
      </c>
      <c r="H6">
        <v>2</v>
      </c>
      <c r="L6" s="1" t="s">
        <v>33</v>
      </c>
      <c r="N6" t="str">
        <f t="shared" si="1"/>
        <v>false;Operationstechnische/Anästhesietechnische Assistenz;madleen883.schneider@gmx.de;1,2,3,4;Operationstechnische/Anästhesietechnische Assistenz;true;2;;;;Beamer;</v>
      </c>
    </row>
    <row r="7" spans="1:14" ht="80" x14ac:dyDescent="0.2">
      <c r="A7" s="8" t="str">
        <f>Worksheet!C7</f>
        <v>Verbundkrankenhaus Linz-Remagen/ Pflegefachschule Linz-Remagen</v>
      </c>
      <c r="B7" s="1" t="s">
        <v>383</v>
      </c>
      <c r="C7" s="7" t="str">
        <f>_xlfn.XLOOKUP($A7,Worksheet!$C:$C,Worksheet!B:B)</f>
        <v>Pflegefachmann/Pflegefachfrau; medizinische Fachangestellte; operationstechnische Assistenten; medizinische Technologie für Radiologie; medizinische Technologie für Laboratoriumsanalytik; Pharmazeutisch technische Angestellte oder p. kaufmännische Angestellte</v>
      </c>
      <c r="D7" s="7" t="str">
        <f>_xlfn.XLOOKUP($A7,Worksheet!$C:$C,Worksheet!G:G)</f>
        <v>kheidrich@pflegefachschule-linz.de</v>
      </c>
      <c r="E7" s="1" t="s">
        <v>385</v>
      </c>
      <c r="F7" t="str">
        <f t="shared" si="0"/>
        <v>Pflegefachmann/Pflegefachfrau; medizinische Fachangestellte; operationstechnische Assistenten; medizinische Technologie für Radiologie; medizinische Technologie für Laboratoriumsanalytik; Pharmazeutisch technische Angestellte oder p. kaufmännische Angestellte</v>
      </c>
      <c r="G7" s="1" t="s">
        <v>384</v>
      </c>
      <c r="H7">
        <v>2</v>
      </c>
      <c r="L7" s="1" t="s">
        <v>33</v>
      </c>
      <c r="N7" t="str">
        <f t="shared" si="1"/>
        <v>false;Pflegefachmann/Pflegefachfrau; medizinische Fachangestellte; operationstechnische Assistenten; medizinische Technologie für Radiologie; medizinische Technologie für Laboratoriumsanalytik; Pharmazeutisch technische Angestellte oder p. kaufmännische Angestellte;kheidrich@pflegefachschule-linz.de;1,2,3,4;Pflegefachmann/Pflegefachfrau; medizinische Fachangestellte; operationstechnische Assistenten; medizinische Technologie für Radiologie; medizinische Technologie für Laboratoriumsanalytik; Pharmazeutisch technische Angestellte oder p. kaufmännische Angestellte;true;2;;;;Beamer;</v>
      </c>
    </row>
    <row r="8" spans="1:14" ht="16" x14ac:dyDescent="0.2">
      <c r="A8" s="8" t="str">
        <f>Worksheet!C8</f>
        <v xml:space="preserve">König, Bianca Recruiting/Personalgewinnung </v>
      </c>
      <c r="B8" s="1" t="s">
        <v>383</v>
      </c>
      <c r="C8" s="7" t="str">
        <f>_xlfn.XLOOKUP($A8,Worksheet!$C:$C,Worksheet!B:B)</f>
        <v xml:space="preserve">Bankkaufmann/ Bankkauffrau </v>
      </c>
      <c r="D8" s="7" t="str">
        <f>_xlfn.XLOOKUP($A8,Worksheet!$C:$C,Worksheet!G:G)</f>
        <v>bianca-eileen.koenig@vr-rae.de</v>
      </c>
      <c r="E8" s="1" t="s">
        <v>385</v>
      </c>
      <c r="F8" t="str">
        <f t="shared" si="0"/>
        <v xml:space="preserve">Bankkaufmann/ Bankkauffrau </v>
      </c>
      <c r="G8" s="1" t="s">
        <v>384</v>
      </c>
      <c r="H8">
        <v>2</v>
      </c>
      <c r="L8" s="1" t="s">
        <v>33</v>
      </c>
      <c r="N8" t="str">
        <f t="shared" si="1"/>
        <v>false;Bankkaufmann/ Bankkauffrau ;bianca-eileen.koenig@vr-rae.de;1,2,3,4;Bankkaufmann/ Bankkauffrau ;true;2;;;;Beamer;</v>
      </c>
    </row>
    <row r="9" spans="1:14" ht="32" x14ac:dyDescent="0.2">
      <c r="A9" s="8" t="str">
        <f>Worksheet!C9</f>
        <v>Kira Brauer</v>
      </c>
      <c r="B9" s="1" t="s">
        <v>383</v>
      </c>
      <c r="C9" s="7" t="str">
        <f>_xlfn.XLOOKUP($A9,Worksheet!$C:$C,Worksheet!B:B)</f>
        <v>Kaufmann (m/w/d) für Groß- und Außenhandelsmanagement</v>
      </c>
      <c r="D9" s="7" t="str">
        <f>_xlfn.XLOOKUP($A9,Worksheet!$C:$C,Worksheet!G:G)</f>
        <v>messenverwaltung@brillux.de</v>
      </c>
      <c r="E9" s="1" t="s">
        <v>385</v>
      </c>
      <c r="F9" t="str">
        <f t="shared" si="0"/>
        <v>Kaufmann (m/w/d) für Groß- und Außenhandelsmanagement</v>
      </c>
      <c r="G9" s="1" t="s">
        <v>384</v>
      </c>
      <c r="H9">
        <v>2</v>
      </c>
      <c r="L9" s="1" t="s">
        <v>33</v>
      </c>
      <c r="N9" t="str">
        <f t="shared" si="1"/>
        <v>false;Kaufmann (m/w/d) für Groß- und Außenhandelsmanagement;messenverwaltung@brillux.de;1,2,3,4;Kaufmann (m/w/d) für Groß- und Außenhandelsmanagement;true;2;;;;Beamer;</v>
      </c>
    </row>
    <row r="10" spans="1:14" ht="32" x14ac:dyDescent="0.2">
      <c r="A10" s="8" t="str">
        <f>Worksheet!C10</f>
        <v>Diederich, Luci - Teil der Geschäftsleitung | Leitung Qualitätsmanagement, Qualitätssicherung &amp; Produktentwicklung</v>
      </c>
      <c r="B10" s="1" t="s">
        <v>383</v>
      </c>
      <c r="C10" s="7" t="str">
        <f>_xlfn.XLOOKUP($A10,Worksheet!$C:$C,Worksheet!B:B)</f>
        <v xml:space="preserve">Süßwarentechnologie | Lebensmittelchemie | Industriekaufleute </v>
      </c>
      <c r="D10" s="7" t="str">
        <f>_xlfn.XLOOKUP($A10,Worksheet!$C:$C,Worksheet!G:G)</f>
        <v>l.diederich@coppeneur.de</v>
      </c>
      <c r="E10" s="1" t="s">
        <v>385</v>
      </c>
      <c r="F10" t="str">
        <f t="shared" si="0"/>
        <v xml:space="preserve">Süßwarentechnologie | Lebensmittelchemie | Industriekaufleute </v>
      </c>
      <c r="G10" s="1" t="s">
        <v>384</v>
      </c>
      <c r="H10">
        <v>2</v>
      </c>
      <c r="L10" s="1" t="s">
        <v>33</v>
      </c>
      <c r="N10" t="str">
        <f t="shared" si="1"/>
        <v>false;Süßwarentechnologie | Lebensmittelchemie | Industriekaufleute ;l.diederich@coppeneur.de;1,2,3,4;Süßwarentechnologie | Lebensmittelchemie | Industriekaufleute ;true;2;;;;Beamer;</v>
      </c>
    </row>
    <row r="11" spans="1:14" ht="16" x14ac:dyDescent="0.2">
      <c r="A11" s="8" t="str">
        <f>Worksheet!C11</f>
        <v>Kloth, Sarah</v>
      </c>
      <c r="B11" s="1" t="s">
        <v>383</v>
      </c>
      <c r="C11" s="7" t="str">
        <f>_xlfn.XLOOKUP($A11,Worksheet!$C:$C,Worksheet!B:B)</f>
        <v>Allgemeine Studienorientierung, Bewerbung an der H-BRS</v>
      </c>
      <c r="D11" s="7" t="str">
        <f>_xlfn.XLOOKUP($A11,Worksheet!$C:$C,Worksheet!G:G)</f>
        <v>sarah.kloth@h-brs.de</v>
      </c>
      <c r="E11" s="1" t="s">
        <v>385</v>
      </c>
      <c r="F11" t="str">
        <f t="shared" si="0"/>
        <v>Allgemeine Studienorientierung, Bewerbung an der H-BRS</v>
      </c>
      <c r="G11" s="1" t="s">
        <v>384</v>
      </c>
      <c r="H11">
        <v>2</v>
      </c>
      <c r="L11" s="1" t="s">
        <v>33</v>
      </c>
      <c r="N11" t="str">
        <f t="shared" si="1"/>
        <v>false;Allgemeine Studienorientierung, Bewerbung an der H-BRS;sarah.kloth@h-brs.de;1,2,3,4;Allgemeine Studienorientierung, Bewerbung an der H-BRS;true;2;;;;Beamer;</v>
      </c>
    </row>
    <row r="12" spans="1:14" ht="64" x14ac:dyDescent="0.2">
      <c r="A12" s="8" t="str">
        <f>Worksheet!C12</f>
        <v>Florian Metzler - Leiter des BZs</v>
      </c>
      <c r="B12" s="1" t="s">
        <v>383</v>
      </c>
      <c r="C12" s="7" t="str">
        <f>_xlfn.XLOOKUP($A12,Worksheet!$C:$C,Worksheet!B:B)</f>
        <v>Anästhesietechnischer Assistent/ Operationstechnischer Assistent/ Generalistische Pflegeausbildung/ Medizinischer Technologe in der Radiologie/ Physiotherapeut</v>
      </c>
      <c r="D12" s="7" t="str">
        <f>_xlfn.XLOOKUP($A12,Worksheet!$C:$C,Worksheet!G:G)</f>
        <v>joanna.fait@marienhaus.de</v>
      </c>
      <c r="E12" s="1" t="s">
        <v>385</v>
      </c>
      <c r="F12" t="str">
        <f t="shared" si="0"/>
        <v>Anästhesietechnischer Assistent/ Operationstechnischer Assistent/ Generalistische Pflegeausbildung/ Medizinischer Technologe in der Radiologie/ Physiotherapeut</v>
      </c>
      <c r="G12" s="1" t="s">
        <v>384</v>
      </c>
      <c r="H12">
        <v>2</v>
      </c>
      <c r="L12" s="1" t="s">
        <v>33</v>
      </c>
      <c r="N12" t="str">
        <f t="shared" si="1"/>
        <v>false;Anästhesietechnischer Assistent/ Operationstechnischer Assistent/ Generalistische Pflegeausbildung/ Medizinischer Technologe in der Radiologie/ Physiotherapeut;joanna.fait@marienhaus.de;1,2,3,4;Anästhesietechnischer Assistent/ Operationstechnischer Assistent/ Generalistische Pflegeausbildung/ Medizinischer Technologe in der Radiologie/ Physiotherapeut;true;2;;;;Beamer;</v>
      </c>
    </row>
    <row r="13" spans="1:14" ht="16" x14ac:dyDescent="0.2">
      <c r="A13" s="8" t="str">
        <f>Worksheet!C13</f>
        <v>Michael Jung, Geschäftsstellenleiter u. Florian Heumann, Organisationsleiter</v>
      </c>
      <c r="B13" s="1" t="s">
        <v>383</v>
      </c>
      <c r="C13" s="7" t="str">
        <f>_xlfn.XLOOKUP($A13,Worksheet!$C:$C,Worksheet!B:B)</f>
        <v>Kaufmann/-frau für Versicherungen und Finanzen</v>
      </c>
      <c r="D13" s="7" t="str">
        <f>_xlfn.XLOOKUP($A13,Worksheet!$C:$C,Worksheet!G:G)</f>
        <v>Michael.Jung@debeka.de</v>
      </c>
      <c r="E13" s="1" t="s">
        <v>385</v>
      </c>
      <c r="F13" t="str">
        <f t="shared" si="0"/>
        <v>Kaufmann/-frau für Versicherungen und Finanzen</v>
      </c>
      <c r="G13" s="1" t="s">
        <v>384</v>
      </c>
      <c r="H13">
        <v>2</v>
      </c>
      <c r="L13" s="1" t="s">
        <v>33</v>
      </c>
      <c r="N13" t="str">
        <f t="shared" si="1"/>
        <v>false;Kaufmann/-frau für Versicherungen und Finanzen;Michael.Jung@debeka.de;1,2,3,4;Kaufmann/-frau für Versicherungen und Finanzen;true;2;;;;Beamer;</v>
      </c>
    </row>
    <row r="14" spans="1:14" ht="32" x14ac:dyDescent="0.2">
      <c r="A14" s="8" t="str">
        <f>Worksheet!C14</f>
        <v>Pütz, David (nebenamtlicher Einstellungsberater)</v>
      </c>
      <c r="B14" s="1" t="s">
        <v>383</v>
      </c>
      <c r="C14" s="7" t="str">
        <f>_xlfn.XLOOKUP($A14,Worksheet!$C:$C,Worksheet!B:B)</f>
        <v>Polizeibeamt*innen</v>
      </c>
      <c r="D14" s="7" t="str">
        <f>_xlfn.XLOOKUP($A14,Worksheet!$C:$C,Worksheet!G:G)</f>
        <v>pilinz.einstellungsberatung@polizei.rlp.de</v>
      </c>
      <c r="E14" s="1" t="s">
        <v>385</v>
      </c>
      <c r="F14" t="str">
        <f t="shared" si="0"/>
        <v>Polizeibeamt*innen</v>
      </c>
      <c r="G14" s="1" t="s">
        <v>384</v>
      </c>
      <c r="H14">
        <v>2</v>
      </c>
      <c r="L14" s="1" t="s">
        <v>33</v>
      </c>
      <c r="N14" t="str">
        <f t="shared" si="1"/>
        <v>false;Polizeibeamt*innen;pilinz.einstellungsberatung@polizei.rlp.de;1,2,3,4;Polizeibeamt*innen;true;2;;;;Beamer;</v>
      </c>
    </row>
    <row r="15" spans="1:14" ht="16" x14ac:dyDescent="0.2">
      <c r="A15" s="8" t="str">
        <f>Worksheet!C15</f>
        <v>Schneider, Andreas Teamleiter Ausbildung)</v>
      </c>
      <c r="B15" s="1" t="s">
        <v>383</v>
      </c>
      <c r="C15" s="7" t="str">
        <f>_xlfn.XLOOKUP($A15,Worksheet!$C:$C,Worksheet!B:B)</f>
        <v>Elektroniker / Industriemechaniker</v>
      </c>
      <c r="D15" s="7" t="str">
        <f>_xlfn.XLOOKUP($A15,Worksheet!$C:$C,Worksheet!G:G)</f>
        <v>andreas.schneider@birkenstock.com</v>
      </c>
      <c r="E15" s="1" t="s">
        <v>385</v>
      </c>
      <c r="F15" t="str">
        <f t="shared" si="0"/>
        <v>Elektroniker / Industriemechaniker</v>
      </c>
      <c r="G15" s="1" t="s">
        <v>384</v>
      </c>
      <c r="H15">
        <v>2</v>
      </c>
      <c r="L15" s="1" t="s">
        <v>33</v>
      </c>
      <c r="N15" t="str">
        <f t="shared" si="1"/>
        <v>false;Elektroniker / Industriemechaniker;andreas.schneider@birkenstock.com;1,2,3,4;Elektroniker / Industriemechaniker;true;2;;;;Beamer;</v>
      </c>
    </row>
    <row r="16" spans="1:14" ht="16" x14ac:dyDescent="0.2">
      <c r="A16" s="8" t="str">
        <f>Worksheet!C16</f>
        <v>Diesner, Michael, Polizeihauptkommissar</v>
      </c>
      <c r="B16" s="1" t="s">
        <v>383</v>
      </c>
      <c r="C16" s="7" t="str">
        <f>_xlfn.XLOOKUP($A16,Worksheet!$C:$C,Worksheet!B:B)</f>
        <v>Bundespolizist</v>
      </c>
      <c r="D16" s="7" t="str">
        <f>_xlfn.XLOOKUP($A16,Worksheet!$C:$C,Worksheet!G:G)</f>
        <v>michael.diesner@polizei.bund.de</v>
      </c>
      <c r="E16" s="1" t="s">
        <v>385</v>
      </c>
      <c r="F16" t="str">
        <f t="shared" si="0"/>
        <v>Bundespolizist</v>
      </c>
      <c r="G16" s="1" t="s">
        <v>384</v>
      </c>
      <c r="H16">
        <v>2</v>
      </c>
      <c r="L16" s="1" t="s">
        <v>33</v>
      </c>
      <c r="N16" t="str">
        <f t="shared" si="1"/>
        <v>false;Bundespolizist;michael.diesner@polizei.bund.de;1,2,3,4;Bundespolizist;true;2;;;;Beamer;</v>
      </c>
    </row>
    <row r="17" spans="1:14" ht="32" x14ac:dyDescent="0.2">
      <c r="A17" s="8" t="str">
        <f>Worksheet!C17</f>
        <v>Vorstellung durch die Ausbilder! Chemikant: Mario Diede, Fachlagerist/Fachkraft Lagerlogistik: Vitali Huse, Fachinformatiker für Systemintegration: Dirk Bach</v>
      </c>
      <c r="B17" s="1" t="s">
        <v>383</v>
      </c>
      <c r="C17" s="7" t="str">
        <f>_xlfn.XLOOKUP($A17,Worksheet!$C:$C,Worksheet!B:B)</f>
        <v>Chemikant, Fachlagerist/Fachkraft Lagerlogistik, Fachinformatiker für Systemintegration</v>
      </c>
      <c r="D17" s="7" t="str">
        <f>_xlfn.XLOOKUP($A17,Worksheet!$C:$C,Worksheet!G:G)</f>
        <v>krossa@noelken.de</v>
      </c>
      <c r="E17" s="1" t="s">
        <v>385</v>
      </c>
      <c r="F17" t="str">
        <f t="shared" si="0"/>
        <v>Chemikant, Fachlagerist/Fachkraft Lagerlogistik, Fachinformatiker für Systemintegration</v>
      </c>
      <c r="G17" s="1" t="s">
        <v>384</v>
      </c>
      <c r="H17">
        <v>2</v>
      </c>
      <c r="L17" s="1" t="s">
        <v>33</v>
      </c>
      <c r="N17" t="str">
        <f t="shared" si="1"/>
        <v>false;Chemikant, Fachlagerist/Fachkraft Lagerlogistik, Fachinformatiker für Systemintegration;krossa@noelken.de;1,2,3,4;Chemikant, Fachlagerist/Fachkraft Lagerlogistik, Fachinformatiker für Systemintegration;true;2;;;;Beamer;</v>
      </c>
    </row>
    <row r="18" spans="1:14" ht="16" x14ac:dyDescent="0.2">
      <c r="A18" s="8" t="str">
        <f>Worksheet!C18</f>
        <v>Isaak, Margarete, Mitglied im Ausbildungsteam des FA Neuwied</v>
      </c>
      <c r="B18" s="1" t="s">
        <v>383</v>
      </c>
      <c r="C18" s="7" t="str">
        <f>_xlfn.XLOOKUP($A18,Worksheet!$C:$C,Worksheet!B:B)</f>
        <v xml:space="preserve">Finanzwirt-in / Diplomfinanzwirt-in </v>
      </c>
      <c r="D18" s="7" t="str">
        <f>_xlfn.XLOOKUP($A18,Worksheet!$C:$C,Worksheet!G:G)</f>
        <v>ausbildung@fa-nr.fin-rlp.de</v>
      </c>
      <c r="E18" s="1" t="s">
        <v>385</v>
      </c>
      <c r="F18" t="str">
        <f t="shared" si="0"/>
        <v xml:space="preserve">Finanzwirt-in / Diplomfinanzwirt-in </v>
      </c>
      <c r="G18" s="1" t="s">
        <v>384</v>
      </c>
      <c r="H18">
        <v>2</v>
      </c>
      <c r="L18" s="1" t="s">
        <v>33</v>
      </c>
      <c r="N18" t="str">
        <f t="shared" si="1"/>
        <v>false;Finanzwirt-in / Diplomfinanzwirt-in ;ausbildung@fa-nr.fin-rlp.de;1,2,3,4;Finanzwirt-in / Diplomfinanzwirt-in ;true;2;;;;Beamer;</v>
      </c>
    </row>
    <row r="19" spans="1:14" ht="16" x14ac:dyDescent="0.2">
      <c r="A19" s="8" t="str">
        <f>Worksheet!C19</f>
        <v>Dr. Bensch, Frank (Deutscher Delegierter bei der Europäischen Weltraumagentur ESA, Fachgruppenleiter Satkom Europäische Programme)</v>
      </c>
      <c r="B19" s="1" t="s">
        <v>383</v>
      </c>
      <c r="C19" s="7" t="str">
        <f>_xlfn.XLOOKUP($A19,Worksheet!$C:$C,Worksheet!B:B)</f>
        <v>Physiker</v>
      </c>
      <c r="D19" s="7" t="str">
        <f>_xlfn.XLOOKUP($A19,Worksheet!$C:$C,Worksheet!G:G)</f>
        <v>frank@bensch-erpel.de</v>
      </c>
      <c r="E19" s="1" t="s">
        <v>385</v>
      </c>
      <c r="F19" t="str">
        <f t="shared" si="0"/>
        <v>Physiker</v>
      </c>
      <c r="G19" s="1" t="s">
        <v>384</v>
      </c>
      <c r="H19">
        <v>2</v>
      </c>
      <c r="L19" s="1" t="s">
        <v>33</v>
      </c>
      <c r="N19" t="str">
        <f t="shared" si="1"/>
        <v>false;Physiker;frank@bensch-erpel.de;1,2,3,4;Physiker;true;2;;;;Beamer;</v>
      </c>
    </row>
    <row r="20" spans="1:14" ht="16" x14ac:dyDescent="0.2">
      <c r="A20" s="8" t="str">
        <f>Worksheet!C20</f>
        <v>Andrea Schlüter</v>
      </c>
      <c r="B20" s="1" t="s">
        <v>383</v>
      </c>
      <c r="C20" s="7" t="str">
        <f>_xlfn.XLOOKUP($A20,Worksheet!$C:$C,Worksheet!B:B)</f>
        <v>Klimaschutz</v>
      </c>
      <c r="D20" s="7" t="str">
        <f>_xlfn.XLOOKUP($A20,Worksheet!$C:$C,Worksheet!G:G)</f>
        <v>andrea.schlueter@vg-linz.de</v>
      </c>
      <c r="E20" s="1" t="s">
        <v>385</v>
      </c>
      <c r="F20" t="str">
        <f t="shared" si="0"/>
        <v>Klimaschutz</v>
      </c>
      <c r="G20" s="1" t="s">
        <v>384</v>
      </c>
      <c r="H20">
        <v>2</v>
      </c>
      <c r="L20" s="1" t="s">
        <v>33</v>
      </c>
      <c r="N20" t="str">
        <f t="shared" si="1"/>
        <v>false;Klimaschutz;andrea.schlueter@vg-linz.de;1,2,3,4;Klimaschutz;true;2;;;;Beamer;</v>
      </c>
    </row>
    <row r="21" spans="1:14" ht="16" x14ac:dyDescent="0.2">
      <c r="A21" s="8" t="str">
        <f>Worksheet!C21</f>
        <v>Pascal Labonde</v>
      </c>
      <c r="B21" s="1" t="s">
        <v>383</v>
      </c>
      <c r="C21" s="7" t="str">
        <f>_xlfn.XLOOKUP($A21,Worksheet!$C:$C,Worksheet!B:B)</f>
        <v>Jugendvertretung</v>
      </c>
      <c r="D21" s="7" t="str">
        <f>_xlfn.XLOOKUP($A21,Worksheet!$C:$C,Worksheet!G:G)</f>
        <v>pascal.labonde@vg-linz.de</v>
      </c>
      <c r="E21" s="1" t="s">
        <v>385</v>
      </c>
      <c r="F21" t="str">
        <f t="shared" si="0"/>
        <v>Jugendvertretung</v>
      </c>
      <c r="G21" s="1" t="s">
        <v>384</v>
      </c>
      <c r="H21">
        <v>2</v>
      </c>
      <c r="L21" s="1" t="s">
        <v>33</v>
      </c>
      <c r="N21" t="str">
        <f t="shared" si="1"/>
        <v>false;Jugendvertretung;pascal.labonde@vg-linz.de;1,2,3,4;Jugendvertretung;true;2;;;;Beamer;</v>
      </c>
    </row>
    <row r="22" spans="1:14" ht="32" x14ac:dyDescent="0.2">
      <c r="A22" s="8" t="str">
        <f>Worksheet!C22</f>
        <v>Manuela Schützeichel (stellv. Personalleitung / Ausbildungsleitung)</v>
      </c>
      <c r="B22" s="1" t="s">
        <v>383</v>
      </c>
      <c r="C22" s="7" t="str">
        <f>_xlfn.XLOOKUP($A22,Worksheet!$C:$C,Worksheet!B:B)</f>
        <v>Werkzeugmechaniker, Industriemechaniker, Elektroniker, Maschinen- u. Anlagenführer,  Industriekauffrau</v>
      </c>
      <c r="D22" s="7" t="str">
        <f>_xlfn.XLOOKUP($A22,Worksheet!$C:$C,Worksheet!G:G)</f>
        <v>manuela.schuetzeichel@niedax.de</v>
      </c>
      <c r="E22" s="1" t="s">
        <v>385</v>
      </c>
      <c r="F22" t="str">
        <f t="shared" si="0"/>
        <v>Werkzeugmechaniker, Industriemechaniker, Elektroniker, Maschinen- u. Anlagenführer,  Industriekauffrau</v>
      </c>
      <c r="G22" s="1" t="s">
        <v>384</v>
      </c>
      <c r="H22">
        <v>2</v>
      </c>
      <c r="L22" s="1" t="s">
        <v>33</v>
      </c>
      <c r="N22" t="str">
        <f t="shared" si="1"/>
        <v>false;Werkzeugmechaniker, Industriemechaniker, Elektroniker, Maschinen- u. Anlagenführer,  Industriekauffrau;manuela.schuetzeichel@niedax.de;1,2,3,4;Werkzeugmechaniker, Industriemechaniker, Elektroniker, Maschinen- u. Anlagenführer,  Industriekauffrau;true;2;;;;Beamer;</v>
      </c>
    </row>
    <row r="23" spans="1:14" ht="16" x14ac:dyDescent="0.2">
      <c r="A23" s="8" t="str">
        <f>Worksheet!C23</f>
        <v xml:space="preserve">Markus Bouillon </v>
      </c>
      <c r="B23" s="1" t="s">
        <v>383</v>
      </c>
      <c r="C23" s="7" t="str">
        <f>_xlfn.XLOOKUP($A23,Worksheet!$C:$C,Worksheet!B:B)</f>
        <v>SHK Anlagenmechaniker, Wasser, Wärme, Klima, Lüftung</v>
      </c>
      <c r="D23" s="7" t="str">
        <f>_xlfn.XLOOKUP($A23,Worksheet!$C:$C,Worksheet!G:G)</f>
        <v>markusbouillon@siebersgmbh.de</v>
      </c>
      <c r="E23" s="1" t="s">
        <v>385</v>
      </c>
      <c r="F23" t="str">
        <f t="shared" si="0"/>
        <v>SHK Anlagenmechaniker, Wasser, Wärme, Klima, Lüftung</v>
      </c>
      <c r="G23" s="1" t="s">
        <v>384</v>
      </c>
      <c r="H23">
        <v>2</v>
      </c>
      <c r="L23" s="1" t="s">
        <v>33</v>
      </c>
      <c r="N23" t="str">
        <f t="shared" si="1"/>
        <v>false;SHK Anlagenmechaniker, Wasser, Wärme, Klima, Lüftung;markusbouillon@siebersgmbh.de;1,2,3,4;SHK Anlagenmechaniker, Wasser, Wärme, Klima, Lüftung;true;2;;;;Beamer;</v>
      </c>
    </row>
    <row r="24" spans="1:14" ht="16" x14ac:dyDescent="0.2">
      <c r="A24" s="8" t="str">
        <f>Worksheet!C24</f>
        <v>Kunkel, Lisa (Büroleitung Karriereberatungsbüro Bonn)</v>
      </c>
      <c r="B24" s="1" t="s">
        <v>383</v>
      </c>
      <c r="C24" s="7" t="str">
        <f>_xlfn.XLOOKUP($A24,Worksheet!$C:$C,Worksheet!B:B)</f>
        <v>Militärische und zivile Karrieremöglichkeiten</v>
      </c>
      <c r="D24" s="7" t="str">
        <f>_xlfn.XLOOKUP($A24,Worksheet!$C:$C,Worksheet!G:G)</f>
        <v>KarrBBBonn@bundeswehr.org</v>
      </c>
      <c r="E24" s="1" t="s">
        <v>385</v>
      </c>
      <c r="F24" t="str">
        <f t="shared" si="0"/>
        <v>Militärische und zivile Karrieremöglichkeiten</v>
      </c>
      <c r="G24" s="1" t="s">
        <v>384</v>
      </c>
      <c r="H24">
        <v>2</v>
      </c>
      <c r="L24" s="1" t="s">
        <v>33</v>
      </c>
      <c r="N24" t="str">
        <f t="shared" si="1"/>
        <v>false;Militärische und zivile Karrieremöglichkeiten;KarrBBBonn@bundeswehr.org;1,2,3,4;Militärische und zivile Karrieremöglichkeiten;true;2;;;;Beamer;</v>
      </c>
    </row>
    <row r="25" spans="1:14" ht="16" x14ac:dyDescent="0.2">
      <c r="A25" s="8" t="str">
        <f>Worksheet!C25</f>
        <v>Born, Philip (Professor für Physik)</v>
      </c>
      <c r="B25" s="1" t="s">
        <v>383</v>
      </c>
      <c r="C25" s="7" t="str">
        <f>_xlfn.XLOOKUP($A25,Worksheet!$C:$C,Worksheet!B:B)</f>
        <v>Naturwissenschaftler</v>
      </c>
      <c r="D25" s="7" t="str">
        <f>_xlfn.XLOOKUP($A25,Worksheet!$C:$C,Worksheet!G:G)</f>
        <v>philip.born@jade-hs.de</v>
      </c>
      <c r="E25" s="1" t="s">
        <v>385</v>
      </c>
      <c r="F25" t="str">
        <f t="shared" si="0"/>
        <v>Naturwissenschaftler</v>
      </c>
      <c r="G25" s="1" t="s">
        <v>384</v>
      </c>
      <c r="H25">
        <v>2</v>
      </c>
      <c r="L25" s="1" t="s">
        <v>33</v>
      </c>
      <c r="N25" t="str">
        <f t="shared" si="1"/>
        <v>false;Naturwissenschaftler;philip.born@jade-hs.de;1,2,3,4;Naturwissenschaftler;true;2;;;;Beamer;</v>
      </c>
    </row>
    <row r="26" spans="1:14" ht="16" x14ac:dyDescent="0.2">
      <c r="A26" s="8" t="str">
        <f>Worksheet!C26</f>
        <v>Weber, Princilia (Wissenschaftliche Mitarbeiterin des Studiengangs Management, Führung, Innovation</v>
      </c>
      <c r="B26" s="1" t="s">
        <v>383</v>
      </c>
      <c r="C26" s="7" t="str">
        <f>_xlfn.XLOOKUP($A26,Worksheet!$C:$C,Worksheet!B:B)</f>
        <v>Bachelorstudiengang Management, Führung, Innovation</v>
      </c>
      <c r="D26" s="7" t="str">
        <f>_xlfn.XLOOKUP($A26,Worksheet!$C:$C,Worksheet!G:G)</f>
        <v>weber3@hs-koblenz.de</v>
      </c>
      <c r="E26" s="1" t="s">
        <v>385</v>
      </c>
      <c r="F26" t="str">
        <f t="shared" si="0"/>
        <v>Bachelorstudiengang Management, Führung, Innovation</v>
      </c>
      <c r="G26" s="1" t="s">
        <v>384</v>
      </c>
      <c r="H26">
        <v>2</v>
      </c>
      <c r="L26" s="1" t="s">
        <v>33</v>
      </c>
      <c r="N26" t="str">
        <f t="shared" si="1"/>
        <v>false;Bachelorstudiengang Management, Führung, Innovation;weber3@hs-koblenz.de;1,2,3,4;Bachelorstudiengang Management, Führung, Innovation;true;2;;;;Beamer;</v>
      </c>
    </row>
    <row r="27" spans="1:14" ht="32" x14ac:dyDescent="0.2">
      <c r="A27" s="8" t="str">
        <f>Worksheet!C27</f>
        <v>Groß Alexander, Ausbildungsleiter</v>
      </c>
      <c r="B27" s="1" t="s">
        <v>383</v>
      </c>
      <c r="C27" s="7" t="str">
        <f>_xlfn.XLOOKUP($A27,Worksheet!$C:$C,Worksheet!B:B)</f>
        <v xml:space="preserve">Ausbildung und duales Studium im Bereich Metall und Elektronik </v>
      </c>
      <c r="D27" s="7" t="str">
        <f>_xlfn.XLOOKUP($A27,Worksheet!$C:$C,Worksheet!G:G)</f>
        <v>alexander.gross@fst.com</v>
      </c>
      <c r="E27" s="1" t="s">
        <v>385</v>
      </c>
      <c r="F27" t="str">
        <f t="shared" si="0"/>
        <v xml:space="preserve">Ausbildung und duales Studium im Bereich Metall und Elektronik </v>
      </c>
      <c r="G27" s="1" t="s">
        <v>384</v>
      </c>
      <c r="H27">
        <v>2</v>
      </c>
      <c r="L27" s="1" t="s">
        <v>33</v>
      </c>
      <c r="N27" t="str">
        <f t="shared" si="1"/>
        <v>false;Ausbildung und duales Studium im Bereich Metall und Elektronik ;alexander.gross@fst.com;1,2,3,4;Ausbildung und duales Studium im Bereich Metall und Elektronik ;true;2;;;;Beamer;</v>
      </c>
    </row>
    <row r="28" spans="1:14" ht="32" x14ac:dyDescent="0.2">
      <c r="A28" s="8" t="str">
        <f>Worksheet!C28</f>
        <v xml:space="preserve">Anne Bollinger Personalbetreuung </v>
      </c>
      <c r="B28" s="1" t="s">
        <v>383</v>
      </c>
      <c r="C28" s="7" t="str">
        <f>_xlfn.XLOOKUP($A28,Worksheet!$C:$C,Worksheet!B:B)</f>
        <v xml:space="preserve">Bankkaufleute </v>
      </c>
      <c r="D28" s="7" t="str">
        <f>_xlfn.XLOOKUP($A28,Worksheet!$C:$C,Worksheet!G:G)</f>
        <v>anne.bollinger@sparkasse-neuwied.de</v>
      </c>
      <c r="E28" s="1" t="s">
        <v>385</v>
      </c>
      <c r="F28" t="str">
        <f t="shared" si="0"/>
        <v xml:space="preserve">Bankkaufleute </v>
      </c>
      <c r="G28" s="1" t="s">
        <v>384</v>
      </c>
      <c r="H28">
        <v>2</v>
      </c>
      <c r="L28" s="1" t="s">
        <v>33</v>
      </c>
      <c r="N28" t="str">
        <f t="shared" si="1"/>
        <v>false;Bankkaufleute ;anne.bollinger@sparkasse-neuwied.de;1,2,3,4;Bankkaufleute ;true;2;;;;Beamer;</v>
      </c>
    </row>
    <row r="29" spans="1:14" ht="16" x14ac:dyDescent="0.2">
      <c r="A29" s="8" t="str">
        <f>Worksheet!C29</f>
        <v>Endlich-Böse, Matthias / Oberarzt</v>
      </c>
      <c r="B29" s="1" t="s">
        <v>383</v>
      </c>
      <c r="C29" s="7" t="str">
        <f>_xlfn.XLOOKUP($A29,Worksheet!$C:$C,Worksheet!B:B)</f>
        <v>Herzchirurgie</v>
      </c>
      <c r="D29" s="7" t="str">
        <f>_xlfn.XLOOKUP($A29,Worksheet!$C:$C,Worksheet!G:G)</f>
        <v>matthiasendlich@yahoo.de</v>
      </c>
      <c r="E29" s="1" t="s">
        <v>385</v>
      </c>
      <c r="F29" t="str">
        <f t="shared" si="0"/>
        <v>Herzchirurgie</v>
      </c>
      <c r="G29" s="1" t="s">
        <v>384</v>
      </c>
      <c r="H29">
        <v>2</v>
      </c>
      <c r="L29" s="1" t="s">
        <v>33</v>
      </c>
      <c r="N29" t="str">
        <f t="shared" si="1"/>
        <v>false;Herzchirurgie;matthiasendlich@yahoo.de;1,2,3,4;Herzchirurgie;true;2;;;;Beamer;</v>
      </c>
    </row>
    <row r="30" spans="1:14" ht="16" x14ac:dyDescent="0.2">
      <c r="A30" s="8" t="str">
        <f>Worksheet!C30</f>
        <v>Wölfl,Simon (Senior Artdirector)</v>
      </c>
      <c r="B30" s="1" t="s">
        <v>383</v>
      </c>
      <c r="C30" s="7" t="str">
        <f>_xlfn.XLOOKUP($A30,Worksheet!$C:$C,Worksheet!B:B)</f>
        <v xml:space="preserve">Grafikdesigner </v>
      </c>
      <c r="D30" s="7" t="str">
        <f>_xlfn.XLOOKUP($A30,Worksheet!$C:$C,Worksheet!G:G)</f>
        <v>simon.design@gmx.de</v>
      </c>
      <c r="E30" s="1" t="s">
        <v>385</v>
      </c>
      <c r="F30" t="str">
        <f t="shared" si="0"/>
        <v xml:space="preserve">Grafikdesigner </v>
      </c>
      <c r="G30" s="1" t="s">
        <v>384</v>
      </c>
      <c r="H30">
        <v>2</v>
      </c>
      <c r="L30" s="1" t="s">
        <v>33</v>
      </c>
      <c r="N30" t="str">
        <f t="shared" si="1"/>
        <v>false;Grafikdesigner ;simon.design@gmx.de;1,2,3,4;Grafikdesigner ;true;2;;;;Beamer;</v>
      </c>
    </row>
    <row r="31" spans="1:14" ht="16" x14ac:dyDescent="0.2">
      <c r="A31" s="8" t="str">
        <f>Worksheet!C31</f>
        <v xml:space="preserve">Kuntze Anka, Praxisanleitung, Fachkraft für Kinderperspektive und Personalrat+ Sina Schmitz Erzieherin </v>
      </c>
      <c r="B31" s="1" t="s">
        <v>383</v>
      </c>
      <c r="C31" s="7" t="str">
        <f>_xlfn.XLOOKUP($A31,Worksheet!$C:$C,Worksheet!B:B)</f>
        <v>ErzieherIn</v>
      </c>
      <c r="D31" s="7" t="str">
        <f>_xlfn.XLOOKUP($A31,Worksheet!$C:$C,Worksheet!G:G)</f>
        <v>anka.kuntze@gmail.com</v>
      </c>
      <c r="E31" s="1" t="s">
        <v>385</v>
      </c>
      <c r="F31" t="str">
        <f t="shared" si="0"/>
        <v>ErzieherIn</v>
      </c>
      <c r="G31" s="1" t="s">
        <v>384</v>
      </c>
      <c r="H31">
        <v>2</v>
      </c>
      <c r="L31" s="1" t="s">
        <v>33</v>
      </c>
      <c r="N31" t="str">
        <f t="shared" si="1"/>
        <v>false;ErzieherIn;anka.kuntze@gmail.com;1,2,3,4;ErzieherIn;true;2;;;;Beamer;</v>
      </c>
    </row>
    <row r="32" spans="1:14" ht="16" x14ac:dyDescent="0.2">
      <c r="A32" s="8" t="str">
        <f>Worksheet!C32</f>
        <v xml:space="preserve">Feltens Benedikt </v>
      </c>
      <c r="B32" s="1" t="s">
        <v>383</v>
      </c>
      <c r="C32" s="7" t="str">
        <f>_xlfn.XLOOKUP($A32,Worksheet!$C:$C,Worksheet!B:B)</f>
        <v>Eventmanager</v>
      </c>
      <c r="D32" s="7" t="str">
        <f>_xlfn.XLOOKUP($A32,Worksheet!$C:$C,Worksheet!G:G)</f>
        <v>benedikt@feltens-events.de</v>
      </c>
      <c r="E32" s="1" t="s">
        <v>385</v>
      </c>
      <c r="F32" t="str">
        <f t="shared" si="0"/>
        <v>Eventmanager</v>
      </c>
      <c r="G32" s="1" t="s">
        <v>384</v>
      </c>
      <c r="H32">
        <v>2</v>
      </c>
      <c r="L32" s="1" t="s">
        <v>33</v>
      </c>
      <c r="N32" t="str">
        <f t="shared" si="1"/>
        <v>false;Eventmanager;benedikt@feltens-events.de;1,2,3,4;Eventmanager;true;2;;;;Beamer;</v>
      </c>
    </row>
    <row r="33" spans="1:14" ht="16" x14ac:dyDescent="0.2">
      <c r="A33" s="8" t="str">
        <f>Worksheet!C33</f>
        <v>Manns, Benedikt, Forstrevierleiter</v>
      </c>
      <c r="B33" s="1" t="s">
        <v>383</v>
      </c>
      <c r="C33" s="7" t="str">
        <f>_xlfn.XLOOKUP($A33,Worksheet!$C:$C,Worksheet!B:B)</f>
        <v>Forstwirtschaft</v>
      </c>
      <c r="D33" s="7" t="str">
        <f>_xlfn.XLOOKUP($A33,Worksheet!$C:$C,Worksheet!G:G)</f>
        <v>bmanns@zuwied.net</v>
      </c>
      <c r="E33" s="1" t="s">
        <v>385</v>
      </c>
      <c r="F33" t="str">
        <f t="shared" si="0"/>
        <v>Forstwirtschaft</v>
      </c>
      <c r="G33" s="1" t="s">
        <v>384</v>
      </c>
      <c r="H33">
        <v>2</v>
      </c>
      <c r="L33" s="1" t="s">
        <v>33</v>
      </c>
      <c r="N33" t="str">
        <f t="shared" si="1"/>
        <v>false;Forstwirtschaft;bmanns@zuwied.net;1,2,3,4;Forstwirtschaft;true;2;;;;Beamer;</v>
      </c>
    </row>
    <row r="34" spans="1:14" ht="16" x14ac:dyDescent="0.2">
      <c r="A34" s="8" t="str">
        <f>Worksheet!C34</f>
        <v>Sebastian Schneider, wiss. Mitarbeiter, Studiengangkoordinator</v>
      </c>
      <c r="B34" s="1" t="s">
        <v>383</v>
      </c>
      <c r="C34" s="7" t="str">
        <f>_xlfn.XLOOKUP($A34,Worksheet!$C:$C,Worksheet!B:B)</f>
        <v>Sportmanagement</v>
      </c>
      <c r="D34" s="7" t="str">
        <f>_xlfn.XLOOKUP($A34,Worksheet!$C:$C,Worksheet!G:G)</f>
        <v>schneider1@hs-koblenz.de</v>
      </c>
      <c r="E34" s="1" t="s">
        <v>385</v>
      </c>
      <c r="F34" t="str">
        <f t="shared" si="0"/>
        <v>Sportmanagement</v>
      </c>
      <c r="G34" s="1" t="s">
        <v>384</v>
      </c>
      <c r="H34">
        <v>2</v>
      </c>
      <c r="L34" s="1" t="s">
        <v>33</v>
      </c>
      <c r="N34" t="str">
        <f t="shared" si="1"/>
        <v>false;Sportmanagement;schneider1@hs-koblenz.de;1,2,3,4;Sportmanagement;true;2;;;;Beamer;</v>
      </c>
    </row>
  </sheetData>
  <phoneticPr fontId="5" type="noConversion"/>
  <pageMargins left="0.7" right="0.7" top="0.78740157499999996" bottom="0.78740157499999996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1136aabc-4c6e-46f2-b057-c262089138e6}" enabled="1" method="Standard" siteId="{763b2760-45c5-46d3-883e-29705bba49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Worksheet</vt:lpstr>
      <vt:lpstr>CleanUp</vt:lpstr>
      <vt:lpstr>referenten</vt:lpstr>
      <vt:lpstr>Vorträge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Jürgen Krey</cp:lastModifiedBy>
  <cp:revision>1</cp:revision>
  <dcterms:created xsi:type="dcterms:W3CDTF">2026-05-19T07:13:53Z</dcterms:created>
  <dcterms:modified xsi:type="dcterms:W3CDTF">2026-06-28T19:36:27Z</dcterms:modified>
  <cp:category/>
</cp:coreProperties>
</file>